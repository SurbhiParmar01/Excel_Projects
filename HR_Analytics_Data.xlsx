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pivotTables/pivotTable5.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tables/table2.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Surbhi\Documents\Data Analytics\2.0\Excel\Excel_Project\"/>
    </mc:Choice>
  </mc:AlternateContent>
  <xr:revisionPtr revIDLastSave="0" documentId="13_ncr:1_{CBA325E7-E7BF-4734-9ABF-42E3172A68B8}" xr6:coauthVersionLast="47" xr6:coauthVersionMax="47" xr10:uidLastSave="{00000000-0000-0000-0000-000000000000}"/>
  <bookViews>
    <workbookView xWindow="-108" yWindow="-108" windowWidth="23256" windowHeight="12576" tabRatio="891" firstSheet="1" activeTab="1" xr2:uid="{00000000-000D-0000-FFFF-FFFF00000000}"/>
  </bookViews>
  <sheets>
    <sheet name="Main Table" sheetId="1" r:id="rId1"/>
    <sheet name="Dashboard" sheetId="18" r:id="rId2"/>
    <sheet name="Employee Count" sheetId="5" r:id="rId3"/>
    <sheet name="HeatMap" sheetId="31" r:id="rId4"/>
    <sheet name="Avg attendance" sheetId="6" r:id="rId5"/>
    <sheet name="Area Chart" sheetId="26" r:id="rId6"/>
    <sheet name="Gender Distribution" sheetId="12" r:id="rId7"/>
    <sheet name="Dept Efficiency" sheetId="20" r:id="rId8"/>
    <sheet name="OT vs Performance" sheetId="14" r:id="rId9"/>
    <sheet name="Dept that earns the most" sheetId="3" r:id="rId10"/>
    <sheet name="KPIEmpCount" sheetId="32" r:id="rId11"/>
    <sheet name="KPISalary" sheetId="33" r:id="rId12"/>
    <sheet name="KPIAvgAttendance" sheetId="34" r:id="rId13"/>
    <sheet name="KPIAvgPerformance" sheetId="35" r:id="rId14"/>
    <sheet name="KPIAvgOvertime" sheetId="36" r:id="rId15"/>
  </sheets>
  <definedNames>
    <definedName name="_xlnm._FilterDatabase" localSheetId="0" hidden="1">'Main Table'!$D$1:$D$101</definedName>
    <definedName name="Slicer_Age">#N/A</definedName>
    <definedName name="Slicer_Attrition_Status">#N/A</definedName>
    <definedName name="Slicer_Education_Level">#N/A</definedName>
    <definedName name="Slicer_Gender">#N/A</definedName>
    <definedName name="Slicer_Promotion_Status">#N/A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0" l="1"/>
  <c r="D4" i="20"/>
  <c r="D5" i="20"/>
  <c r="D6" i="20"/>
  <c r="D2" i="20"/>
  <c r="C3" i="20"/>
  <c r="C4" i="20"/>
  <c r="C5" i="20"/>
  <c r="C6" i="20"/>
  <c r="C2" i="20"/>
  <c r="B3" i="20"/>
  <c r="B4" i="20"/>
  <c r="B5" i="20"/>
  <c r="B6" i="20"/>
  <c r="B2" i="20"/>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2" i="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M3" i="1" a="1"/>
  <c r="M3" i="1" s="1"/>
  <c r="M4" i="1" a="1"/>
  <c r="M4" i="1" s="1"/>
  <c r="M5" i="1" a="1"/>
  <c r="M5" i="1" s="1"/>
  <c r="M6" i="1" a="1"/>
  <c r="M6" i="1"/>
  <c r="M7" i="1" a="1"/>
  <c r="M7" i="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<sst xmlns="http://schemas.openxmlformats.org/spreadsheetml/2006/main" count="784" uniqueCount="246">
  <si>
    <t>Employee_ID</t>
  </si>
  <si>
    <t>Name</t>
  </si>
  <si>
    <t>Department</t>
  </si>
  <si>
    <t>Gender</t>
  </si>
  <si>
    <t>Age</t>
  </si>
  <si>
    <t>Education_Level</t>
  </si>
  <si>
    <t>Joining_Date</t>
  </si>
  <si>
    <t>Monthly_Salary</t>
  </si>
  <si>
    <t>Attendance_%</t>
  </si>
  <si>
    <t>Overtime_Hours</t>
  </si>
  <si>
    <t>Performance_Rating</t>
  </si>
  <si>
    <t>Promotion_Status</t>
  </si>
  <si>
    <t>Attrition_Status</t>
  </si>
  <si>
    <t>Leave_Days</t>
  </si>
  <si>
    <t>Work_From_Home_Days</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</si>
  <si>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</si>
  <si>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</si>
  <si>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</si>
  <si>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</si>
  <si>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</si>
  <si>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</si>
  <si>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</si>
  <si>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</si>
  <si>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</si>
  <si>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</si>
  <si>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</si>
  <si>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</si>
  <si>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</si>
  <si>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</si>
  <si>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</si>
  <si>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</si>
  <si>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</si>
  <si>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</si>
  <si>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</si>
  <si>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</si>
  <si>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</si>
  <si>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</si>
  <si>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</si>
  <si>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</si>
  <si>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</si>
  <si>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</si>
  <si>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</si>
  <si>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</si>
  <si>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</si>
  <si>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</si>
  <si>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</si>
  <si>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</si>
  <si>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</si>
  <si>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</si>
  <si>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</si>
  <si>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</si>
  <si>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</si>
  <si>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</si>
  <si>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</si>
  <si>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</si>
  <si>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</si>
  <si>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</si>
  <si>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</si>
  <si>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</si>
  <si>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</si>
  <si>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</si>
  <si>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</si>
  <si>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</si>
  <si>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</si>
  <si>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</si>
  <si>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</si>
  <si>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</si>
  <si>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</si>
  <si>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</si>
  <si>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</si>
  <si>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</si>
  <si>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</si>
  <si>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</si>
  <si>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</si>
  <si>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</si>
  <si>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</si>
  <si>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</si>
  <si>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</si>
  <si>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</si>
  <si>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</si>
  <si>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</si>
  <si>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</si>
  <si>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</si>
  <si>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</si>
  <si>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</si>
  <si>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</si>
  <si>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</si>
  <si>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</si>
  <si>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</si>
  <si>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</si>
  <si>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</si>
  <si>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</si>
  <si>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</si>
  <si>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</si>
  <si>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</si>
  <si>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</si>
  <si>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</si>
  <si>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</si>
  <si>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</si>
  <si>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</si>
  <si>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</si>
  <si>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</si>
  <si>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</si>
  <si>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</si>
  <si>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</si>
  <si>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</si>
  <si>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</si>
  <si>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</si>
  <si>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</si>
  <si>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</si>
  <si>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</si>
  <si>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</si>
  <si>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</si>
  <si>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</si>
  <si>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</si>
  <si>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Omar Archer</t>
  </si>
  <si>
    <t>Anthony West</t>
  </si>
  <si>
    <t>Justin Adams</t>
  </si>
  <si>
    <t>Brandon Michael</t>
  </si>
  <si>
    <t>Calvin Valdez</t>
  </si>
  <si>
    <t>Teresa Espinoza</t>
  </si>
  <si>
    <t>Sabrina Ward</t>
  </si>
  <si>
    <t>Jaclyn Summers</t>
  </si>
  <si>
    <t>Sharon Thomas</t>
  </si>
  <si>
    <t>Brian Martin</t>
  </si>
  <si>
    <t>Jeff Hawkins</t>
  </si>
  <si>
    <t>Brianna Robinson</t>
  </si>
  <si>
    <t>Brian Jensen</t>
  </si>
  <si>
    <t>Christopher Wood</t>
  </si>
  <si>
    <t>Paul Fleming</t>
  </si>
  <si>
    <t>Joel Mendoza IV</t>
  </si>
  <si>
    <t>Matthew Butler</t>
  </si>
  <si>
    <t>Ann Stephens</t>
  </si>
  <si>
    <t>Melissa Beltran</t>
  </si>
  <si>
    <t>Brenda Richardson</t>
  </si>
  <si>
    <t>Harold Burnett</t>
  </si>
  <si>
    <t>Teresa Watts</t>
  </si>
  <si>
    <t>Joseph Bell MD</t>
  </si>
  <si>
    <t>Vanessa Colon</t>
  </si>
  <si>
    <t>Daniel Evans</t>
  </si>
  <si>
    <t>Kathryn Johnson</t>
  </si>
  <si>
    <t>Katie Ross</t>
  </si>
  <si>
    <t>Paul Diaz</t>
  </si>
  <si>
    <t>Ellen Gross</t>
  </si>
  <si>
    <t>Emily Jones</t>
  </si>
  <si>
    <t>Glenn Smith</t>
  </si>
  <si>
    <t>Laura Lin</t>
  </si>
  <si>
    <t>Mary Mendez</t>
  </si>
  <si>
    <t>Jason Smith</t>
  </si>
  <si>
    <t>Hannah Williams</t>
  </si>
  <si>
    <t>Justin Wilkinson</t>
  </si>
  <si>
    <t>Brian Anderson</t>
  </si>
  <si>
    <t>Kathleen Morgan</t>
  </si>
  <si>
    <t>Kimberly Houston</t>
  </si>
  <si>
    <t>Patricia Williams</t>
  </si>
  <si>
    <t>Samantha Ayala</t>
  </si>
  <si>
    <t>Monica Reilly</t>
  </si>
  <si>
    <t>Seth Gray</t>
  </si>
  <si>
    <t>Maria Stone</t>
  </si>
  <si>
    <t>Marcus Johnson</t>
  </si>
  <si>
    <t>Angela Mata</t>
  </si>
  <si>
    <t>Briana Phillips</t>
  </si>
  <si>
    <t>Adam Duffy</t>
  </si>
  <si>
    <t>Veronica Lee</t>
  </si>
  <si>
    <t>Darius Marshall</t>
  </si>
  <si>
    <t>Jessica Frank</t>
  </si>
  <si>
    <t>Derek Herrera</t>
  </si>
  <si>
    <t>Andrea Hensley</t>
  </si>
  <si>
    <t>Michael Wilson</t>
  </si>
  <si>
    <t>Andrea Knight</t>
  </si>
  <si>
    <t>Lisa Robertson</t>
  </si>
  <si>
    <t>Jeremy Clark</t>
  </si>
  <si>
    <t>Patrick Todd</t>
  </si>
  <si>
    <t>Lisa Griffin</t>
  </si>
  <si>
    <t>Robert Andrews</t>
  </si>
  <si>
    <t>Randy Douglas</t>
  </si>
  <si>
    <t>Elizabeth Jordan</t>
  </si>
  <si>
    <t>Gloria Stone</t>
  </si>
  <si>
    <t>Breanna Jackson</t>
  </si>
  <si>
    <t>Mary Elliott</t>
  </si>
  <si>
    <t>Christopher Smith</t>
  </si>
  <si>
    <t>Margaret Davis</t>
  </si>
  <si>
    <t>Jason Cervantes</t>
  </si>
  <si>
    <t>Joanna Davis MD</t>
  </si>
  <si>
    <t>Charles Clark</t>
  </si>
  <si>
    <t>Adrian Mcbride</t>
  </si>
  <si>
    <t>George Green</t>
  </si>
  <si>
    <t>Emily Walker</t>
  </si>
  <si>
    <t>Anthony Poole</t>
  </si>
  <si>
    <t>Christopher Williams</t>
  </si>
  <si>
    <t>Erica Alexander</t>
  </si>
  <si>
    <t>Briana Bennett</t>
  </si>
  <si>
    <t>Sandra Perry</t>
  </si>
  <si>
    <t>Penny Marshall</t>
  </si>
  <si>
    <t>Jamie Mitchell DDS</t>
  </si>
  <si>
    <t>Russell Miller</t>
  </si>
  <si>
    <t>Mrs. Traci Buchanan</t>
  </si>
  <si>
    <t>Rachel Greene</t>
  </si>
  <si>
    <t>Curtis Bryant</t>
  </si>
  <si>
    <t>Alan Collins</t>
  </si>
  <si>
    <t>Whitney Barnes</t>
  </si>
  <si>
    <t>Christopher Lewis</t>
  </si>
  <si>
    <t>Walter Jordan</t>
  </si>
  <si>
    <t>Thomas Serrano</t>
  </si>
  <si>
    <t>Bryce Fitzgerald</t>
  </si>
  <si>
    <t>Erika Bailey</t>
  </si>
  <si>
    <t>Brett Hart</t>
  </si>
  <si>
    <t>Alex Knox</t>
  </si>
  <si>
    <t>Vanessa Ramirez</t>
  </si>
  <si>
    <t>Seth Martin</t>
  </si>
  <si>
    <t>Suzanne Arroyo</t>
  </si>
  <si>
    <t>Dustin Peck</t>
  </si>
  <si>
    <t>Joseph Stevens</t>
  </si>
  <si>
    <t>Casey Mcclain</t>
  </si>
  <si>
    <t>HR</t>
  </si>
  <si>
    <t>Sales</t>
  </si>
  <si>
    <t>Marketing</t>
  </si>
  <si>
    <t>Finance</t>
  </si>
  <si>
    <t>IT</t>
  </si>
  <si>
    <t>Other</t>
  </si>
  <si>
    <t>Male</t>
  </si>
  <si>
    <t>Female</t>
  </si>
  <si>
    <t>Master</t>
  </si>
  <si>
    <t>Diploma</t>
  </si>
  <si>
    <t>Bachelor</t>
  </si>
  <si>
    <t>Promoted</t>
  </si>
  <si>
    <t>Not Promoted</t>
  </si>
  <si>
    <t>Resigned</t>
  </si>
  <si>
    <t>Active</t>
  </si>
  <si>
    <t>Performance Evaluation</t>
  </si>
  <si>
    <t>Who Takes The Most Leaves?</t>
  </si>
  <si>
    <t>Who works the most overtime hours?</t>
  </si>
  <si>
    <t>Row Labels</t>
  </si>
  <si>
    <t>Grand Total</t>
  </si>
  <si>
    <t>Average of Performance_Rating</t>
  </si>
  <si>
    <t>Employee count by dept</t>
  </si>
  <si>
    <t>Average of Attendance_%</t>
  </si>
  <si>
    <t>Avg attendance by dept</t>
  </si>
  <si>
    <t>Number of Employees</t>
  </si>
  <si>
    <t>Gender Count</t>
  </si>
  <si>
    <t>Average Salary</t>
  </si>
  <si>
    <t>Average Performance</t>
  </si>
  <si>
    <t>Employee Count</t>
  </si>
  <si>
    <t>Average of Overtime_Hours</t>
  </si>
  <si>
    <t>Average of Monthly_Salary</t>
  </si>
  <si>
    <t>Count of 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</si>
</sst>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5F6FA"/>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0" fontId="0" fillId="2" borderId="0" xfId="0" applyFill="1"/>
    <xf numFmtId="0" fontId="2" fillId="0" borderId="0" xfId="0" applyFont="1"/>
    <xf numFmtId="0" fontId="0" fillId="0" borderId="0" xfId="0" applyNumberFormat="1"/>
  </cellXfs>
  <cellStyles count="1">
    <cellStyle name="Normal" xfId="0" builtinId="0"/>
  </cellStyles>
  <dxfs count="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ill>
        <patternFill>
          <bgColor rgb="FF92D050"/>
        </patternFill>
      </fill>
    </dxf>
    <dxf>
      <fill>
        <patternFill>
          <bgColor rgb="FFFFC000"/>
        </patternFill>
      </fill>
    </dxf>
    <dxf>
      <fill>
        <patternFill>
          <bgColor rgb="FFFF0000"/>
        </patternFill>
      </fill>
    </dxf>
    <dxf>
      <font>
        <color rgb="FF006100"/>
      </font>
      <fill>
        <patternFill>
          <bgColor rgb="FFC6EFCE"/>
        </patternFill>
      </fill>
    </dxf>
    <dxf>
      <numFmt numFmtId="2" formatCode="0.00"/>
    </dxf>
    <dxf>
      <numFmt numFmtId="2" formatCode="0.00"/>
    </dxf>
    <dxf>
      <numFmt numFmtId="165" formatCode="&quot;$&quot;#,##0"/>
    </dxf>
    <dxf>
      <font>
        <b/>
        <i val="0"/>
        <strike val="0"/>
        <condense val="0"/>
        <extend val="0"/>
        <outline val="0"/>
        <shadow val="0"/>
        <u val="none"/>
        <vertAlign val="baseline"/>
        <sz val="12"/>
        <color theme="1"/>
        <name val="Calibri"/>
        <family val="2"/>
        <scheme val="minor"/>
      </font>
    </dxf>
    <dxf>
      <numFmt numFmtId="2" formatCode="0.00"/>
    </dxf>
    <dxf>
      <numFmt numFmtId="2" formatCode="0.00"/>
    </dxf>
    <dxf>
      <numFmt numFmtId="2" formatCode="0.00"/>
    </dxf>
    <dxf>
      <numFmt numFmtId="2" formatCode="0.00"/>
    </dxf>
    <dxf>
      <numFmt numFmtId="165" formatCode="&quot;$&quot;#,##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5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[HR_Analytics_Data.xlsx]Avg attendance!PivotTable4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latin typeface="+mj-lt"/>
              </a:rPr>
              <a:t>Average Attendance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'Avg attendance'!$B$3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attendance'!$A$4:$A$9</c:f>
              <c:strCache>
                <c:ptCount val="5"/>
                <c:pt idx="0">
                  <c:v>Finance</c:v>
                </c:pt>
                <c:pt idx="1">
                  <c:v>HR</c:v>
                </c:pt>
                <c:pt idx="2">
                  <c:v>IT</c:v>
                </c:pt>
                <c:pt idx="3">
                  <c:v>Marketing</c:v>
                </c:pt>
                <c:pt idx="4">
                  <c:v>Sales</c:v>
                </c:pt>
              </c:strCache>
            </c:strRef>
          </c:cat>
          <c:val>
            <c:numRef>
              <c:f>'Avg attendance'!$B$4:$B$9</c:f>
              <c:numCache>
                <c:formatCode>0.00</c:formatCode>
                <c:ptCount val="5"/>
                <c:pt idx="0">
                  <c:v>84.175454545454556</c:v>
                </c:pt>
                <c:pt idx="1">
                  <c:v>86.80074074074075</c:v>
                </c:pt>
                <c:pt idx="2">
                  <c:v>83.62608695652176</c:v>
                </c:pt>
                <c:pt idx="3">
                  <c:v>80.818181818181827</c:v>
                </c:pt>
                <c:pt idx="4">
                  <c:v>89.070588235294125</c:v>
                </c:pt>
              </c:numCache>
            </c:numRef>
          </c:val>
          <c:extLst>
            <c:ext xmlns:c16="http://schemas.microsoft.com/office/drawing/2014/chart" uri="{C3380CC4-5D6E-409C-BE32-E72D297353CC}">
              <c16:uniqueId val="{00000000-A4F6-454F-B78B-4D2E71389184}"/>
            </c:ext>
          </c:extLst>
        </c:ser>
        <c:dLbls>
          <c:showLegendKey val="0"/>
          <c:showVal val="0"/>
          <c:showCatName val="0"/>
          <c:showSerName val="0"/>
          <c:showPercent val="0"/>
          <c:showBubbleSize val="0"/>
        </c:dLbls>
        <c:gapWidth val="150"/>
        <c:overlap val="100"/>
        <c:axId val="158408303"/>
        <c:axId val="158403983"/>
      </c:barChart>
      <c:catAx>
        <c:axId val="1584083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endParaRPr lang="en-US"/>
          </a:p>
        </c:txPr>
        <c:crossAx val="158403983"/>
        <c:crosses val="autoZero"/>
        <c:auto val="1"/>
        <c:lblAlgn val="ctr"/>
        <c:lblOffset val="100"/>
        <c:noMultiLvlLbl val="0"/>
      </c:catAx>
      <c:valAx>
        <c:axId val="1584039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endParaRPr lang="en-US"/>
          </a:p>
        </c:txPr>
        <c:crossAx val="158408303"/>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[HR_Analytics_Data.xlsx]Employee Count!PivotTable3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a:solidFill>
                  <a:schemeClr val="tx1"/>
                </a:solidFill>
                <a:latin typeface="+mj-lt"/>
              </a:rPr>
              <a:t>Employee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Count'!$B$3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Count'!$A$4:$A$9</c:f>
              <c:strCache>
                <c:ptCount val="5"/>
                <c:pt idx="0">
                  <c:v>Finance</c:v>
                </c:pt>
                <c:pt idx="1">
                  <c:v>HR</c:v>
                </c:pt>
                <c:pt idx="2">
                  <c:v>IT</c:v>
                </c:pt>
                <c:pt idx="3">
                  <c:v>Marketing</c:v>
                </c:pt>
                <c:pt idx="4">
                  <c:v>Sales</c:v>
                </c:pt>
              </c:strCache>
            </c:strRef>
          </c:cat>
          <c:val>
            <c:numRef>
              <c:f>'Employee Count'!$B$4:$B$9</c:f>
              <c:numCache>
                <c:formatCode>General</c:formatCode>
                <c:ptCount val="5"/>
                <c:pt idx="0">
                  <c:v>11</c:v>
                </c:pt>
                <c:pt idx="1">
                  <c:v>27</c:v>
                </c:pt>
                <c:pt idx="2">
                  <c:v>23</c:v>
                </c:pt>
                <c:pt idx="3">
                  <c:v>22</c:v>
                </c:pt>
                <c:pt idx="4">
                  <c:v>17</c:v>
                </c:pt>
              </c:numCache>
            </c:numRef>
          </c:val>
          <c:extLst>
            <c:ext xmlns:c16="http://schemas.microsoft.com/office/drawing/2014/chart" uri="{C3380CC4-5D6E-409C-BE32-E72D297353CC}">
              <c16:uniqueId val="{00000000-7B02-41C1-9CC2-F1385A4E7014}"/>
            </c:ext>
          </c:extLst>
        </c:ser>
        <c:dLbls>
          <c:showLegendKey val="0"/>
          <c:showVal val="0"/>
          <c:showCatName val="0"/>
          <c:showSerName val="0"/>
          <c:showPercent val="0"/>
          <c:showBubbleSize val="0"/>
        </c:dLbls>
        <c:gapWidth val="100"/>
        <c:overlap val="-24"/>
        <c:axId val="1915070751"/>
        <c:axId val="1915081791"/>
      </c:barChart>
      <c:catAx>
        <c:axId val="1915070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5081791"/>
        <c:crosses val="autoZero"/>
        <c:auto val="1"/>
        <c:lblAlgn val="ctr"/>
        <c:lblOffset val="100"/>
        <c:noMultiLvlLbl val="0"/>
      </c:catAx>
      <c:valAx>
        <c:axId val="191508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507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[HR_Analytics_Data.xlsx]Gender Distribution!PivotTable37</c:name>
    <c:fmtId val="1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031255468066501"/>
              <c:y val="5.447834645669291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8AEA7367-6AC1-44B0-AB93-DA1AAD26A30A}" type="VALUE">
                  <a:rPr lang="en-US" sz="1000" b="1" i="0" baseline="0"/>
                  <a:pPr>
                    <a:defRPr sz="1000" b="1" i="0" u="none" strike="noStrike" kern="1200" baseline="0">
                      <a:solidFill>
                        <a:schemeClr val="tx1">
                          <a:lumMod val="75000"/>
                          <a:lumOff val="25000"/>
                        </a:schemeClr>
                      </a:solidFill>
                      <a:latin typeface="+mn-lt"/>
                      <a:ea typeface="+mn-ea"/>
                      <a:cs typeface="+mn-cs"/>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CA"/>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961286089238847E-2"/>
              <c:y val="-0.1585017497812774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15FF0445-549A-460C-91D4-6BE81FB375E9}" type="VALUE">
                  <a:rPr lang="en-US" sz="1000" b="1" i="0" baseline="0"/>
                  <a:pPr>
                    <a:defRPr sz="1000" b="1" i="0" u="none" strike="noStrike" kern="1200" baseline="0">
                      <a:solidFill>
                        <a:schemeClr val="tx1">
                          <a:lumMod val="75000"/>
                          <a:lumOff val="25000"/>
                        </a:schemeClr>
                      </a:solidFill>
                      <a:latin typeface="+mn-lt"/>
                      <a:ea typeface="+mn-ea"/>
                      <a:cs typeface="+mn-cs"/>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CA"/>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442913385826768E-2"/>
              <c:y val="0.1275393700787401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F60340A-82B8-4083-A29B-A26352BDC24D}" type="VALUE">
                  <a:rPr lang="en-US" sz="1000" b="1" i="0" baseline="0"/>
                  <a:pPr>
                    <a:defRPr sz="1000" b="1" i="0" u="none" strike="noStrike" kern="1200" baseline="0">
                      <a:solidFill>
                        <a:schemeClr val="tx1">
                          <a:lumMod val="75000"/>
                          <a:lumOff val="25000"/>
                        </a:schemeClr>
                      </a:solidFill>
                      <a:latin typeface="+mn-lt"/>
                      <a:ea typeface="+mn-ea"/>
                      <a:cs typeface="+mn-cs"/>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CA"/>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031255468066501"/>
              <c:y val="5.447834645669291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8AEA7367-6AC1-44B0-AB93-DA1AAD26A30A}" type="VALUE">
                  <a:rPr lang="en-US" sz="1000" b="1" i="0" baseline="0"/>
                  <a:pPr>
                    <a:defRPr sz="1000" b="1" i="0" u="none" strike="noStrike" kern="1200" baseline="0">
                      <a:solidFill>
                        <a:schemeClr val="tx1">
                          <a:lumMod val="75000"/>
                          <a:lumOff val="25000"/>
                        </a:schemeClr>
                      </a:solidFill>
                      <a:latin typeface="+mn-lt"/>
                      <a:ea typeface="+mn-ea"/>
                      <a:cs typeface="+mn-cs"/>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CA"/>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961286089238847E-2"/>
              <c:y val="-0.1585017497812774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15FF0445-549A-460C-91D4-6BE81FB375E9}" type="VALUE">
                  <a:rPr lang="en-US" sz="1000" b="1" i="0" baseline="0"/>
                  <a:pPr>
                    <a:defRPr sz="1000" b="1" i="0" u="none" strike="noStrike" kern="1200" baseline="0">
                      <a:solidFill>
                        <a:schemeClr val="tx1">
                          <a:lumMod val="75000"/>
                          <a:lumOff val="25000"/>
                        </a:schemeClr>
                      </a:solidFill>
                      <a:latin typeface="+mn-lt"/>
                      <a:ea typeface="+mn-ea"/>
                      <a:cs typeface="+mn-cs"/>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CA"/>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442913385826768E-2"/>
              <c:y val="0.1275393700787401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F60340A-82B8-4083-A29B-A26352BDC24D}" type="VALUE">
                  <a:rPr lang="en-US" sz="1000" b="1" i="0" baseline="0"/>
                  <a:pPr>
                    <a:defRPr sz="1000" b="1" i="0" u="none" strike="noStrike" kern="1200" baseline="0">
                      <a:solidFill>
                        <a:schemeClr val="tx1">
                          <a:lumMod val="75000"/>
                          <a:lumOff val="25000"/>
                        </a:schemeClr>
                      </a:solidFill>
                      <a:latin typeface="+mn-lt"/>
                      <a:ea typeface="+mn-ea"/>
                      <a:cs typeface="+mn-cs"/>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CA"/>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65516857375561E-2"/>
              <c:y val="0.107370852684982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8AEA7367-6AC1-44B0-AB93-DA1AAD26A30A}" type="VALUE">
                  <a:rPr lang="en-US" sz="1000" b="1" i="0" baseline="0">
                    <a:solidFill>
                      <a:schemeClr val="bg1"/>
                    </a:solidFill>
                  </a:rPr>
                  <a:pPr>
                    <a:defRPr sz="1000" b="1">
                      <a:solidFill>
                        <a:schemeClr val="bg1"/>
                      </a:solidFill>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803831258110895E-2"/>
              <c:y val="-0.23784013032906431"/>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15FF0445-549A-460C-91D4-6BE81FB375E9}" type="VALUE">
                  <a:rPr lang="en-US" sz="1000" b="1" i="0" baseline="0">
                    <a:solidFill>
                      <a:schemeClr val="bg1"/>
                    </a:solidFill>
                  </a:rPr>
                  <a:pPr>
                    <a:defRPr sz="1000" b="1">
                      <a:solidFill>
                        <a:schemeClr val="bg1"/>
                      </a:solidFill>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9568967085884146E-2"/>
              <c:y val="0.22450874980304175"/>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DF60340A-82B8-4083-A29B-A26352BDC24D}" type="VALUE">
                  <a:rPr lang="en-US" sz="1000" b="1" i="0" baseline="0">
                    <a:solidFill>
                      <a:schemeClr val="bg1"/>
                    </a:solidFill>
                  </a:rPr>
                  <a:pPr>
                    <a:defRPr sz="1000" b="1">
                      <a:solidFill>
                        <a:schemeClr val="bg1"/>
                      </a:solidFill>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Distribution'!$B$3</c:f>
              <c:strCache>
                <c:ptCount val="1"/>
                <c:pt idx="0">
                  <c:v>Total</c:v>
                </c:pt>
              </c:strCache>
            </c:strRef>
          </c:tx>
          <c:dPt>
            <c:idx val="0"/>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588-4698-AA33-03BFBC33103C}"/>
              </c:ext>
            </c:extLst>
          </c:dPt>
          <c:dPt>
            <c:idx val="1"/>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588-4698-AA33-03BFBC33103C}"/>
              </c:ext>
            </c:extLst>
          </c:dPt>
          <c:dPt>
            <c:idx val="2"/>
            <c:bubble3D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588-4698-AA33-03BFBC33103C}"/>
              </c:ext>
            </c:extLst>
          </c:dPt>
          <c:dLbls>
            <c:dLbl>
              <c:idx val="0"/>
              <c:layout>
                <c:manualLayout>
                  <c:x val="-6.265516857375561E-2"/>
                  <c:y val="0.1073708526849828"/>
                </c:manualLayout>
              </c:layout>
              <c:tx>
                <c:rich>
                  <a:bodyPr/>
                  <a:lstStyle/>
                  <a:p>
                    <a:fld id="{8AEA7367-6AC1-44B0-AB93-DA1AAD26A30A}" type="VALUE">
                      <a:rPr lang="en-US" sz="1000" b="1" i="0" baseline="0">
                        <a:solidFill>
                          <a:schemeClr val="bg1"/>
                        </a:solidFill>
                      </a:rPr>
                      <a:pPr/>
                      <a:t>[VALUE]</a:t>
                    </a:fld>
                    <a:endParaRPr lang="en-CA"/>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588-4698-AA33-03BFBC33103C}"/>
                </c:ext>
              </c:extLst>
            </c:dLbl>
            <c:dLbl>
              <c:idx val="1"/>
              <c:layout>
                <c:manualLayout>
                  <c:x val="5.1803831258110895E-2"/>
                  <c:y val="-0.23784013032906431"/>
                </c:manualLayout>
              </c:layout>
              <c:tx>
                <c:rich>
                  <a:bodyPr/>
                  <a:lstStyle/>
                  <a:p>
                    <a:fld id="{15FF0445-549A-460C-91D4-6BE81FB375E9}" type="VALUE">
                      <a:rPr lang="en-US" sz="1000" b="1" i="0" baseline="0">
                        <a:solidFill>
                          <a:schemeClr val="bg1"/>
                        </a:solidFill>
                      </a:rPr>
                      <a:pPr/>
                      <a:t>[VALUE]</a:t>
                    </a:fld>
                    <a:endParaRPr lang="en-CA"/>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588-4698-AA33-03BFBC33103C}"/>
                </c:ext>
              </c:extLst>
            </c:dLbl>
            <c:dLbl>
              <c:idx val="2"/>
              <c:layout>
                <c:manualLayout>
                  <c:x val="4.9568967085884146E-2"/>
                  <c:y val="0.22450874980304175"/>
                </c:manualLayout>
              </c:layout>
              <c:tx>
                <c:rich>
                  <a:bodyPr/>
                  <a:lstStyle/>
                  <a:p>
                    <a:fld id="{DF60340A-82B8-4083-A29B-A26352BDC24D}" type="VALUE">
                      <a:rPr lang="en-US" sz="1000" b="1" i="0" baseline="0">
                        <a:solidFill>
                          <a:schemeClr val="bg1"/>
                        </a:solidFill>
                      </a:rPr>
                      <a:pPr/>
                      <a:t>[VALUE]</a:t>
                    </a:fld>
                    <a:endParaRPr lang="en-CA"/>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588-4698-AA33-03BFBC3310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Distribution'!$A$4:$A$7</c:f>
              <c:strCache>
                <c:ptCount val="3"/>
                <c:pt idx="0">
                  <c:v>Female</c:v>
                </c:pt>
                <c:pt idx="1">
                  <c:v>Male</c:v>
                </c:pt>
                <c:pt idx="2">
                  <c:v>Other</c:v>
                </c:pt>
              </c:strCache>
            </c:strRef>
          </c:cat>
          <c:val>
            <c:numRef>
              <c:f>'Gender Distribution'!$B$4:$B$7</c:f>
              <c:numCache>
                <c:formatCode>General</c:formatCode>
                <c:ptCount val="3"/>
                <c:pt idx="0">
                  <c:v>41</c:v>
                </c:pt>
                <c:pt idx="1">
                  <c:v>40</c:v>
                </c:pt>
                <c:pt idx="2">
                  <c:v>19</c:v>
                </c:pt>
              </c:numCache>
            </c:numRef>
          </c:val>
          <c:extLst>
            <c:ext xmlns:c16="http://schemas.microsoft.com/office/drawing/2014/chart" uri="{C3380CC4-5D6E-409C-BE32-E72D297353CC}">
              <c16:uniqueId val="{00000006-F588-4698-AA33-03BFBC3310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038619733912502"/>
          <c:y val="0.32033212532302879"/>
          <c:w val="0.31332047997817775"/>
          <c:h val="0.286521127750582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[HR_Analytics_Data.xlsx]Area Chart!AreaChart</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b="1">
                <a:solidFill>
                  <a:schemeClr val="tx1"/>
                </a:solidFill>
                <a:latin typeface="+mj-lt"/>
              </a:rPr>
              <a:t>Salary-Attendance Correlation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15740740740740744"/>
            </c:manualLayout>
          </c:layout>
          <c:tx>
            <c:rich>
              <a:bodyPr rot="0" spcFirstLastPara="1" vertOverflow="clip" horzOverflow="clip" vert="horz" wrap="square" lIns="38100" tIns="19050" rIns="38100" bIns="19050" anchor="ctr" anchorCtr="1">
                <a:spAutoFit/>
              </a:bodyPr>
              <a:lstStyle/>
              <a:p>
                <a:pPr>
                  <a:defRPr sz="900" b="0" i="1" u="none" strike="noStrike" kern="1200" baseline="0">
                    <a:solidFill>
                      <a:schemeClr val="dk1">
                        <a:lumMod val="65000"/>
                        <a:lumOff val="35000"/>
                      </a:schemeClr>
                    </a:solidFill>
                    <a:latin typeface="+mj-lt"/>
                    <a:ea typeface="+mn-ea"/>
                    <a:cs typeface="+mn-cs"/>
                  </a:defRPr>
                </a:pPr>
                <a:r>
                  <a:rPr lang="en-US" b="0" i="1" baseline="0">
                    <a:latin typeface="+mj-lt"/>
                  </a:rPr>
                  <a:t>89.07</a:t>
                </a:r>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05"/>
              <c:y val="-8.3333333333333356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111111111111108E-2"/>
              <c:y val="-8.3333333333333329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6.0185185185185182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9.7222222222222224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05"/>
              <c:y val="-8.3333333333333356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9.7222222222222224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6.0185185185185182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111111111111108E-2"/>
              <c:y val="-8.3333333333333329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15740740740740744"/>
            </c:manualLayout>
          </c:layout>
          <c:tx>
            <c:rich>
              <a:bodyPr rot="0" spcFirstLastPara="1" vertOverflow="clip" horzOverflow="clip" vert="horz" wrap="square" lIns="38100" tIns="19050" rIns="38100" bIns="19050" anchor="ctr" anchorCtr="1">
                <a:spAutoFit/>
              </a:bodyPr>
              <a:lstStyle/>
              <a:p>
                <a:pPr>
                  <a:defRPr sz="900" b="0" i="1" u="none" strike="noStrike" kern="1200" baseline="0">
                    <a:solidFill>
                      <a:schemeClr val="dk1">
                        <a:lumMod val="65000"/>
                        <a:lumOff val="35000"/>
                      </a:schemeClr>
                    </a:solidFill>
                    <a:latin typeface="+mj-lt"/>
                    <a:ea typeface="+mn-ea"/>
                    <a:cs typeface="+mn-cs"/>
                  </a:defRPr>
                </a:pPr>
                <a:r>
                  <a:rPr lang="en-US" b="0" i="1" baseline="0">
                    <a:latin typeface="+mj-lt"/>
                  </a:rPr>
                  <a:t>89.07</a:t>
                </a:r>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05"/>
              <c:y val="-8.3333333333333356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9.7222222222222224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6.0185185185185182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111111111111108E-2"/>
              <c:y val="-8.3333333333333329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15740740740740744"/>
            </c:manualLayout>
          </c:layout>
          <c:tx>
            <c:rich>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r>
                  <a:rPr lang="en-US" b="1" i="1" baseline="0">
                    <a:latin typeface="+mj-lt"/>
                  </a:rPr>
                  <a:t>89.07</a:t>
                </a:r>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'Area Chart'!$B$3</c:f>
              <c:strCache>
                <c:ptCount val="1"/>
                <c:pt idx="0">
                  <c:v>Average of Monthly_Salary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'Area Chart'!$A$4:$A$9</c:f>
              <c:strCache>
                <c:ptCount val="5"/>
                <c:pt idx="0">
                  <c:v>Finance</c:v>
                </c:pt>
                <c:pt idx="1">
                  <c:v>HR</c:v>
                </c:pt>
                <c:pt idx="2">
                  <c:v>IT</c:v>
                </c:pt>
                <c:pt idx="3">
                  <c:v>Marketing</c:v>
                </c:pt>
                <c:pt idx="4">
                  <c:v>Sales</c:v>
                </c:pt>
              </c:strCache>
            </c:strRef>
          </c:cat>
          <c:val>
            <c:numRef>
              <c:f>'Area Chart'!$B$4:$B$9</c:f>
              <c:numCache>
                <c:formatCode>0.00</c:formatCode>
                <c:ptCount val="5"/>
                <c:pt idx="0">
                  <c:v>80286.727272727279</c:v>
                </c:pt>
                <c:pt idx="1">
                  <c:v>72310.074074074073</c:v>
                </c:pt>
                <c:pt idx="2">
                  <c:v>81560.565217391311</c:v>
                </c:pt>
                <c:pt idx="3">
                  <c:v>69912</c:v>
                </c:pt>
                <c:pt idx="4">
                  <c:v>71224.705882352937</c:v>
                </c:pt>
              </c:numCache>
            </c:numRef>
          </c:val>
          <c:extLst>
            <c:ext xmlns:c16="http://schemas.microsoft.com/office/drawing/2014/chart" uri="{C3380CC4-5D6E-409C-BE32-E72D297353CC}">
              <c16:uniqueId val="{00000000-D590-4EF6-AFDC-F1D4BAF361A6}"/>
            </c:ext>
          </c:extLst>
        </c:ser>
        <c:ser>
          <c:idx val="1"/>
          <c:order val="1"/>
          <c:tx>
            <c:strRef>
              <c:f>'Area Chart'!$C$3</c:f>
              <c:strCache>
                <c:ptCount val="1"/>
                <c:pt idx="0">
                  <c:v>Average of Attendance_%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1-D590-4EF6-AFDC-F1D4BAF361A6}"/>
              </c:ext>
            </c:extLst>
          </c:dPt>
          <c:dPt>
            <c:idx val="1"/>
            <c:bubble3D val="0"/>
            <c:extLst>
              <c:ext xmlns:c16="http://schemas.microsoft.com/office/drawing/2014/chart" uri="{C3380CC4-5D6E-409C-BE32-E72D297353CC}">
                <c16:uniqueId val="{00000002-D590-4EF6-AFDC-F1D4BAF361A6}"/>
              </c:ext>
            </c:extLst>
          </c:dPt>
          <c:dPt>
            <c:idx val="2"/>
            <c:bubble3D val="0"/>
            <c:extLst>
              <c:ext xmlns:c16="http://schemas.microsoft.com/office/drawing/2014/chart" uri="{C3380CC4-5D6E-409C-BE32-E72D297353CC}">
                <c16:uniqueId val="{00000003-D590-4EF6-AFDC-F1D4BAF361A6}"/>
              </c:ext>
            </c:extLst>
          </c:dPt>
          <c:dPt>
            <c:idx val="3"/>
            <c:bubble3D val="0"/>
            <c:extLst>
              <c:ext xmlns:c16="http://schemas.microsoft.com/office/drawing/2014/chart" uri="{C3380CC4-5D6E-409C-BE32-E72D297353CC}">
                <c16:uniqueId val="{00000004-D590-4EF6-AFDC-F1D4BAF361A6}"/>
              </c:ext>
            </c:extLst>
          </c:dPt>
          <c:dPt>
            <c:idx val="4"/>
            <c:bubble3D val="0"/>
            <c:extLst>
              <c:ext xmlns:c16="http://schemas.microsoft.com/office/drawing/2014/chart" uri="{C3380CC4-5D6E-409C-BE32-E72D297353CC}">
                <c16:uniqueId val="{00000005-D590-4EF6-AFDC-F1D4BAF361A6}"/>
              </c:ext>
            </c:extLst>
          </c:dPt>
          <c:dLbls>
            <c:dLbl>
              <c:idx val="0"/>
              <c:layout>
                <c:manualLayout>
                  <c:x val="0.05"/>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90-4EF6-AFDC-F1D4BAF361A6}"/>
                </c:ext>
              </c:extLst>
            </c:dLbl>
            <c:dLbl>
              <c:idx val="1"/>
              <c:layout>
                <c:manualLayout>
                  <c:x val="5.5555555555555558E-3"/>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90-4EF6-AFDC-F1D4BAF361A6}"/>
                </c:ext>
              </c:extLst>
            </c:dLbl>
            <c:dLbl>
              <c:idx val="2"/>
              <c:layout>
                <c:manualLayout>
                  <c:x val="4.444444444444444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90-4EF6-AFDC-F1D4BAF361A6}"/>
                </c:ext>
              </c:extLst>
            </c:dLbl>
            <c:dLbl>
              <c:idx val="3"/>
              <c:layout>
                <c:manualLayout>
                  <c:x val="3.6111111111111108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90-4EF6-AFDC-F1D4BAF361A6}"/>
                </c:ext>
              </c:extLst>
            </c:dLbl>
            <c:dLbl>
              <c:idx val="4"/>
              <c:layout>
                <c:manualLayout>
                  <c:x val="6.1111111111111012E-2"/>
                  <c:y val="-0.15740740740740744"/>
                </c:manualLayout>
              </c:layout>
              <c:tx>
                <c:rich>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r>
                      <a:rPr lang="en-US" b="1" i="1" baseline="0">
                        <a:latin typeface="+mj-lt"/>
                      </a:rPr>
                      <a:t>89.07</a:t>
                    </a:r>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 xmlns:c16="http://schemas.microsoft.com/office/drawing/2014/chart" uri="{C3380CC4-5D6E-409C-BE32-E72D297353CC}">
                  <c16:uniqueId val="{00000005-D590-4EF6-AFDC-F1D4BAF361A6}"/>
                </c:ext>
              </c:extLst>
            </c:dLbl>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'Area Chart'!$A$4:$A$9</c:f>
              <c:strCache>
                <c:ptCount val="5"/>
                <c:pt idx="0">
                  <c:v>Finance</c:v>
                </c:pt>
                <c:pt idx="1">
                  <c:v>HR</c:v>
                </c:pt>
                <c:pt idx="2">
                  <c:v>IT</c:v>
                </c:pt>
                <c:pt idx="3">
                  <c:v>Marketing</c:v>
                </c:pt>
                <c:pt idx="4">
                  <c:v>Sales</c:v>
                </c:pt>
              </c:strCache>
            </c:strRef>
          </c:cat>
          <c:val>
            <c:numRef>
              <c:f>'Area Chart'!$C$4:$C$9</c:f>
              <c:numCache>
                <c:formatCode>0.00</c:formatCode>
                <c:ptCount val="5"/>
                <c:pt idx="0">
                  <c:v>84.175454545454556</c:v>
                </c:pt>
                <c:pt idx="1">
                  <c:v>86.80074074074075</c:v>
                </c:pt>
                <c:pt idx="2">
                  <c:v>83.62608695652176</c:v>
                </c:pt>
                <c:pt idx="3">
                  <c:v>80.818181818181827</c:v>
                </c:pt>
                <c:pt idx="4">
                  <c:v>89.070588235294125</c:v>
                </c:pt>
              </c:numCache>
            </c:numRef>
          </c:val>
          <c:extLst>
            <c:ext xmlns:c16="http://schemas.microsoft.com/office/drawing/2014/chart" uri="{C3380CC4-5D6E-409C-BE32-E72D297353CC}">
              <c16:uniqueId val="{00000006-D590-4EF6-AFDC-F1D4BAF361A6}"/>
            </c:ext>
          </c:extLst>
        </c:ser>
        <c:dLbls>
          <c:showLegendKey val="0"/>
          <c:showVal val="0"/>
          <c:showCatName val="0"/>
          <c:showSerName val="0"/>
          <c:showPercent val="0"/>
          <c:showBubbleSize val="0"/>
        </c:dLbls>
        <c:axId val="112451328"/>
        <c:axId val="112443648"/>
        <c:axId val="0"/>
      </c:area3DChart>
      <c:catAx>
        <c:axId val="1124513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endParaRPr lang="en-US"/>
          </a:p>
        </c:txPr>
        <c:crossAx val="112443648"/>
        <c:crosses val="autoZero"/>
        <c:auto val="1"/>
        <c:lblAlgn val="ctr"/>
        <c:lblOffset val="100"/>
        <c:noMultiLvlLbl val="0"/>
      </c:catAx>
      <c:valAx>
        <c:axId val="112443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endParaRPr lang="en-US"/>
          </a:p>
        </c:txPr>
        <c:crossAx val="112451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[HR_Analytics_Data.xlsx]Employee Count!PivotTable3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CA" b="1">
                <a:solidFill>
                  <a:schemeClr val="tx1">
                    <a:lumMod val="75000"/>
                    <a:lumOff val="25000"/>
                  </a:schemeClr>
                </a:solidFill>
              </a:rPr>
              <a:t>Employee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Count'!$A$4:$A$9</c:f>
              <c:strCache>
                <c:ptCount val="5"/>
                <c:pt idx="0">
                  <c:v>Finance</c:v>
                </c:pt>
                <c:pt idx="1">
                  <c:v>HR</c:v>
                </c:pt>
                <c:pt idx="2">
                  <c:v>IT</c:v>
                </c:pt>
                <c:pt idx="3">
                  <c:v>Marketing</c:v>
                </c:pt>
                <c:pt idx="4">
                  <c:v>Sales</c:v>
                </c:pt>
              </c:strCache>
            </c:strRef>
          </c:cat>
          <c:val>
            <c:numRef>
              <c:f>'Employee Count'!$B$4:$B$9</c:f>
              <c:numCache>
                <c:formatCode>General</c:formatCode>
                <c:ptCount val="5"/>
                <c:pt idx="0">
                  <c:v>11</c:v>
                </c:pt>
                <c:pt idx="1">
                  <c:v>27</c:v>
                </c:pt>
                <c:pt idx="2">
                  <c:v>23</c:v>
                </c:pt>
                <c:pt idx="3">
                  <c:v>22</c:v>
                </c:pt>
                <c:pt idx="4">
                  <c:v>17</c:v>
                </c:pt>
              </c:numCache>
            </c:numRef>
          </c:val>
          <c:extLst>
            <c:ext xmlns:c16="http://schemas.microsoft.com/office/drawing/2014/chart" uri="{C3380CC4-5D6E-409C-BE32-E72D297353CC}">
              <c16:uniqueId val="{00000000-8B63-467C-98B2-8C2120107A41}"/>
            </c:ext>
          </c:extLst>
        </c:ser>
        <c:dLbls>
          <c:showLegendKey val="0"/>
          <c:showVal val="0"/>
          <c:showCatName val="0"/>
          <c:showSerName val="0"/>
          <c:showPercent val="0"/>
          <c:showBubbleSize val="0"/>
        </c:dLbls>
        <c:gapWidth val="219"/>
        <c:overlap val="-27"/>
        <c:axId val="1915070751"/>
        <c:axId val="1915081791"/>
      </c:barChart>
      <c:catAx>
        <c:axId val="191507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Departments</a:t>
                </a:r>
              </a:p>
            </c:rich>
          </c:tx>
          <c:layout>
            <c:manualLayout>
              <c:xMode val="edge"/>
              <c:yMode val="edge"/>
              <c:x val="0.42884787401574798"/>
              <c:y val="0.893918184469365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15081791"/>
        <c:crosses val="autoZero"/>
        <c:auto val="1"/>
        <c:lblAlgn val="ctr"/>
        <c:lblOffset val="100"/>
        <c:noMultiLvlLbl val="0"/>
      </c:catAx>
      <c:valAx>
        <c:axId val="191508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Number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1507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[HR_Analytics_Data.xlsx]Avg attendance!PivotTable4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'Avg attendance'!$B$3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attendance'!$A$4:$A$9</c:f>
              <c:strCache>
                <c:ptCount val="5"/>
                <c:pt idx="0">
                  <c:v>Finance</c:v>
                </c:pt>
                <c:pt idx="1">
                  <c:v>HR</c:v>
                </c:pt>
                <c:pt idx="2">
                  <c:v>IT</c:v>
                </c:pt>
                <c:pt idx="3">
                  <c:v>Marketing</c:v>
                </c:pt>
                <c:pt idx="4">
                  <c:v>Sales</c:v>
                </c:pt>
              </c:strCache>
            </c:strRef>
          </c:cat>
          <c:val>
            <c:numRef>
              <c:f>'Avg attendance'!$B$4:$B$9</c:f>
              <c:numCache>
                <c:formatCode>0.00</c:formatCode>
                <c:ptCount val="5"/>
                <c:pt idx="0">
                  <c:v>84.175454545454556</c:v>
                </c:pt>
                <c:pt idx="1">
                  <c:v>86.80074074074075</c:v>
                </c:pt>
                <c:pt idx="2">
                  <c:v>83.62608695652176</c:v>
                </c:pt>
                <c:pt idx="3">
                  <c:v>80.818181818181827</c:v>
                </c:pt>
                <c:pt idx="4">
                  <c:v>89.070588235294125</c:v>
                </c:pt>
              </c:numCache>
            </c:numRef>
          </c:val>
          <c:extLst>
            <c:ext xmlns:c16="http://schemas.microsoft.com/office/drawing/2014/chart" uri="{C3380CC4-5D6E-409C-BE32-E72D297353CC}">
              <c16:uniqueId val="{00000000-4E97-4322-9199-58DCE5F50AD2}"/>
            </c:ext>
          </c:extLst>
        </c:ser>
        <c:dLbls>
          <c:showLegendKey val="0"/>
          <c:showVal val="0"/>
          <c:showCatName val="0"/>
          <c:showSerName val="0"/>
          <c:showPercent val="0"/>
          <c:showBubbleSize val="0"/>
        </c:dLbls>
        <c:gapWidth val="150"/>
        <c:overlap val="100"/>
        <c:axId val="158408303"/>
        <c:axId val="158403983"/>
      </c:barChart>
      <c:catAx>
        <c:axId val="158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58403983"/>
        <c:crosses val="autoZero"/>
        <c:auto val="1"/>
        <c:lblAlgn val="ctr"/>
        <c:lblOffset val="100"/>
        <c:noMultiLvlLbl val="0"/>
      </c:catAx>
      <c:valAx>
        <c:axId val="1584039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58408303"/>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[HR_Analytics_Data.xlsx]Area Chart!AreaChart</c:name>
    <c:fmtId val="0"/>
  </c:pivotSource>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r>
              <a:rPr lang="en-CA" b="1">
                <a:solidFill>
                  <a:schemeClr val="tx1">
                    <a:lumMod val="75000"/>
                    <a:lumOff val="25000"/>
                  </a:schemeClr>
                </a:solidFill>
                <a:latin typeface="+mj-lt"/>
              </a:rPr>
              <a:t>Salary-Attendance Correlation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111111111111012E-2"/>
              <c:y val="-0.15740740740740744"/>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dk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05"/>
              <c:y val="-8.3333333333333356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111111111111108E-2"/>
              <c:y val="-8.3333333333333329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6.0185185185185182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9.7222222222222224E-2"/>
            </c:manualLayout>
          </c:layout>
          <c:spPr>
            <a:noFill/>
            <a:ln w="12700" cap="rnd">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dk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'Area Chart'!$B$3</c:f>
              <c:strCache>
                <c:ptCount val="1"/>
                <c:pt idx="0">
                  <c:v>Average of Monthly_Salary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'Area Chart'!$A$4:$A$9</c:f>
              <c:strCache>
                <c:ptCount val="5"/>
                <c:pt idx="0">
                  <c:v>Finance</c:v>
                </c:pt>
                <c:pt idx="1">
                  <c:v>HR</c:v>
                </c:pt>
                <c:pt idx="2">
                  <c:v>IT</c:v>
                </c:pt>
                <c:pt idx="3">
                  <c:v>Marketing</c:v>
                </c:pt>
                <c:pt idx="4">
                  <c:v>Sales</c:v>
                </c:pt>
              </c:strCache>
            </c:strRef>
          </c:cat>
          <c:val>
            <c:numRef>
              <c:f>'Area Chart'!$B$4:$B$9</c:f>
              <c:numCache>
                <c:formatCode>0.00</c:formatCode>
                <c:ptCount val="5"/>
                <c:pt idx="0">
                  <c:v>80286.727272727279</c:v>
                </c:pt>
                <c:pt idx="1">
                  <c:v>72310.074074074073</c:v>
                </c:pt>
                <c:pt idx="2">
                  <c:v>81560.565217391311</c:v>
                </c:pt>
                <c:pt idx="3">
                  <c:v>69912</c:v>
                </c:pt>
                <c:pt idx="4">
                  <c:v>71224.705882352937</c:v>
                </c:pt>
              </c:numCache>
            </c:numRef>
          </c:val>
          <c:extLst>
            <c:ext xmlns:c16="http://schemas.microsoft.com/office/drawing/2014/chart" uri="{C3380CC4-5D6E-409C-BE32-E72D297353CC}">
              <c16:uniqueId val="{00000000-E1E4-484B-9C24-5657E75BC58D}"/>
            </c:ext>
          </c:extLst>
        </c:ser>
        <c:ser>
          <c:idx val="1"/>
          <c:order val="1"/>
          <c:tx>
            <c:strRef>
              <c:f>'Area Chart'!$C$3</c:f>
              <c:strCache>
                <c:ptCount val="1"/>
                <c:pt idx="0">
                  <c:v>Average of Attendance_%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4-E1E4-484B-9C24-5657E75BC58D}"/>
              </c:ext>
            </c:extLst>
          </c:dPt>
          <c:dPt>
            <c:idx val="1"/>
            <c:bubble3D val="0"/>
            <c:extLst>
              <c:ext xmlns:c16="http://schemas.microsoft.com/office/drawing/2014/chart" uri="{C3380CC4-5D6E-409C-BE32-E72D297353CC}">
                <c16:uniqueId val="{00000007-E1E4-484B-9C24-5657E75BC58D}"/>
              </c:ext>
            </c:extLst>
          </c:dPt>
          <c:dPt>
            <c:idx val="2"/>
            <c:bubble3D val="0"/>
            <c:extLst>
              <c:ext xmlns:c16="http://schemas.microsoft.com/office/drawing/2014/chart" uri="{C3380CC4-5D6E-409C-BE32-E72D297353CC}">
                <c16:uniqueId val="{00000006-E1E4-484B-9C24-5657E75BC58D}"/>
              </c:ext>
            </c:extLst>
          </c:dPt>
          <c:dPt>
            <c:idx val="3"/>
            <c:bubble3D val="0"/>
            <c:extLst>
              <c:ext xmlns:c16="http://schemas.microsoft.com/office/drawing/2014/chart" uri="{C3380CC4-5D6E-409C-BE32-E72D297353CC}">
                <c16:uniqueId val="{00000005-E1E4-484B-9C24-5657E75BC58D}"/>
              </c:ext>
            </c:extLst>
          </c:dPt>
          <c:dPt>
            <c:idx val="4"/>
            <c:bubble3D val="0"/>
            <c:extLst>
              <c:ext xmlns:c16="http://schemas.microsoft.com/office/drawing/2014/chart" uri="{C3380CC4-5D6E-409C-BE32-E72D297353CC}">
                <c16:uniqueId val="{00000003-E1E4-484B-9C24-5657E75BC58D}"/>
              </c:ext>
            </c:extLst>
          </c:dPt>
          <c:cat>
            <c:strRef>
              <c:f>'Area Chart'!$A$4:$A$9</c:f>
              <c:strCache>
                <c:ptCount val="5"/>
                <c:pt idx="0">
                  <c:v>Finance</c:v>
                </c:pt>
                <c:pt idx="1">
                  <c:v>HR</c:v>
                </c:pt>
                <c:pt idx="2">
                  <c:v>IT</c:v>
                </c:pt>
                <c:pt idx="3">
                  <c:v>Marketing</c:v>
                </c:pt>
                <c:pt idx="4">
                  <c:v>Sales</c:v>
                </c:pt>
              </c:strCache>
            </c:strRef>
          </c:cat>
          <c:val>
            <c:numRef>
              <c:f>'Area Chart'!$C$4:$C$9</c:f>
              <c:numCache>
                <c:formatCode>0.00</c:formatCode>
                <c:ptCount val="5"/>
                <c:pt idx="0">
                  <c:v>84.175454545454556</c:v>
                </c:pt>
                <c:pt idx="1">
                  <c:v>86.80074074074075</c:v>
                </c:pt>
                <c:pt idx="2">
                  <c:v>83.62608695652176</c:v>
                </c:pt>
                <c:pt idx="3">
                  <c:v>80.818181818181827</c:v>
                </c:pt>
                <c:pt idx="4">
                  <c:v>89.070588235294125</c:v>
                </c:pt>
              </c:numCache>
            </c:numRef>
          </c:val>
          <c:extLst>
            <c:ext xmlns:c16="http://schemas.microsoft.com/office/drawing/2014/chart" uri="{C3380CC4-5D6E-409C-BE32-E72D297353CC}">
              <c16:uniqueId val="{00000001-E1E4-484B-9C24-5657E75BC58D}"/>
            </c:ext>
          </c:extLst>
        </c:ser>
        <c:dLbls>
          <c:showLegendKey val="0"/>
          <c:showVal val="0"/>
          <c:showCatName val="0"/>
          <c:showSerName val="0"/>
          <c:showPercent val="0"/>
          <c:showBubbleSize val="0"/>
        </c:dLbls>
        <c:axId val="112451328"/>
        <c:axId val="112443648"/>
        <c:axId val="0"/>
      </c:area3DChart>
      <c:catAx>
        <c:axId val="1124513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mj-lt"/>
                <a:ea typeface="+mn-ea"/>
                <a:cs typeface="+mn-cs"/>
              </a:defRPr>
            </a:pPr>
            <a:endParaRPr lang="en-US"/>
          </a:p>
        </c:txPr>
        <c:crossAx val="112443648"/>
        <c:crosses val="autoZero"/>
        <c:auto val="1"/>
        <c:lblAlgn val="ctr"/>
        <c:lblOffset val="100"/>
        <c:noMultiLvlLbl val="0"/>
      </c:catAx>
      <c:valAx>
        <c:axId val="112443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mj-lt"/>
                <a:ea typeface="+mn-ea"/>
                <a:cs typeface="+mn-cs"/>
              </a:defRPr>
            </a:pPr>
            <a:endParaRPr lang="en-US"/>
          </a:p>
        </c:txPr>
        <c:crossAx val="112451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j-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[HR_Analytics_Data.xlsx]Gender Distribution!PivotTable37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031255468066501"/>
              <c:y val="5.447834645669291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8AEA7367-6AC1-44B0-AB93-DA1AAD26A30A}" type="VALUE">
                  <a:rPr lang="en-US" sz="1000" b="1" i="0" baseline="0"/>
                  <a:pPr>
                    <a:defRPr sz="1000" b="1"/>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961286089238847E-2"/>
              <c:y val="-0.1585017497812774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15FF0445-549A-460C-91D4-6BE81FB375E9}" type="VALUE">
                  <a:rPr lang="en-US" sz="1000" b="1" i="0" baseline="0"/>
                  <a:pPr>
                    <a:defRPr sz="1000" b="1"/>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442913385826768E-2"/>
              <c:y val="0.1275393700787401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DF60340A-82B8-4083-A29B-A26352BDC24D}" type="VALUE">
                  <a:rPr lang="en-US" sz="1000" b="1" i="0" baseline="0"/>
                  <a:pPr>
                    <a:defRPr sz="1000" b="1"/>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Distribution'!$B$3</c:f>
              <c:strCache>
                <c:ptCount val="1"/>
                <c:pt idx="0">
                  <c:v>Total</c:v>
                </c:pt>
              </c:strCache>
            </c:strRef>
          </c:tx>
          <c:dPt>
            <c:idx val="0"/>
            <c:bubble3D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30D-4A95-812F-DD1881D0ADAA}"/>
              </c:ext>
            </c:extLst>
          </c:dPt>
          <c:dPt>
            <c:idx val="1"/>
            <c:bubble3D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30D-4A95-812F-DD1881D0ADAA}"/>
              </c:ext>
            </c:extLst>
          </c:dPt>
          <c:dPt>
            <c:idx val="2"/>
            <c:bubble3D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30D-4A95-812F-DD1881D0ADAA}"/>
              </c:ext>
            </c:extLst>
          </c:dPt>
          <c:dLbls>
            <c:dLbl>
              <c:idx val="0"/>
              <c:layout>
                <c:manualLayout>
                  <c:x val="-0.12031255468066501"/>
                  <c:y val="5.4478346456692917E-2"/>
                </c:manualLayout>
              </c:layout>
              <c:tx>
                <c:rich>
                  <a:bodyPr/>
                  <a:lstStyle/>
                  <a:p>
                    <a:fld id="{8AEA7367-6AC1-44B0-AB93-DA1AAD26A30A}" type="VALUE">
                      <a:rPr lang="en-US" sz="1000" b="1" i="0" baseline="0"/>
                      <a:pPr/>
                      <a:t>[VALUE]</a:t>
                    </a:fld>
                    <a:endParaRPr lang="en-CA"/>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30D-4A95-812F-DD1881D0ADAA}"/>
                </c:ext>
              </c:extLst>
            </c:dLbl>
            <c:dLbl>
              <c:idx val="1"/>
              <c:layout>
                <c:manualLayout>
                  <c:x val="8.1961286089238847E-2"/>
                  <c:y val="-0.15850174978127743"/>
                </c:manualLayout>
              </c:layout>
              <c:tx>
                <c:rich>
                  <a:bodyPr/>
                  <a:lstStyle/>
                  <a:p>
                    <a:fld id="{15FF0445-549A-460C-91D4-6BE81FB375E9}" type="VALUE">
                      <a:rPr lang="en-US" sz="1000" b="1" i="0" baseline="0"/>
                      <a:pPr/>
                      <a:t>[VALUE]</a:t>
                    </a:fld>
                    <a:endParaRPr lang="en-CA"/>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30D-4A95-812F-DD1881D0ADAA}"/>
                </c:ext>
              </c:extLst>
            </c:dLbl>
            <c:dLbl>
              <c:idx val="2"/>
              <c:layout>
                <c:manualLayout>
                  <c:x val="6.9442913385826768E-2"/>
                  <c:y val="0.12753937007874017"/>
                </c:manualLayout>
              </c:layout>
              <c:tx>
                <c:rich>
                  <a:bodyPr/>
                  <a:lstStyle/>
                  <a:p>
                    <a:fld id="{DF60340A-82B8-4083-A29B-A26352BDC24D}" type="VALUE">
                      <a:rPr lang="en-US" sz="1000" b="1" i="0" baseline="0"/>
                      <a:pPr/>
                      <a:t>[VALUE]</a:t>
                    </a:fld>
                    <a:endParaRPr lang="en-CA"/>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30D-4A95-812F-DD1881D0AD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Distribution'!$A$4:$A$7</c:f>
              <c:strCache>
                <c:ptCount val="3"/>
                <c:pt idx="0">
                  <c:v>Female</c:v>
                </c:pt>
                <c:pt idx="1">
                  <c:v>Male</c:v>
                </c:pt>
                <c:pt idx="2">
                  <c:v>Other</c:v>
                </c:pt>
              </c:strCache>
            </c:strRef>
          </c:cat>
          <c:val>
            <c:numRef>
              <c:f>'Gender Distribution'!$B$4:$B$7</c:f>
              <c:numCache>
                <c:formatCode>General</c:formatCode>
                <c:ptCount val="3"/>
                <c:pt idx="0">
                  <c:v>41</c:v>
                </c:pt>
                <c:pt idx="1">
                  <c:v>40</c:v>
                </c:pt>
                <c:pt idx="2">
                  <c:v>19</c:v>
                </c:pt>
              </c:numCache>
            </c:numRef>
          </c:val>
          <c:extLst>
            <c:ext xmlns:c16="http://schemas.microsoft.com/office/drawing/2014/chart" uri="{C3380CC4-5D6E-409C-BE32-E72D297353CC}">
              <c16:uniqueId val="{00000000-730D-4A95-812F-DD1881D0ADA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181496062992117"/>
          <c:y val="0.44885316418780985"/>
          <c:w val="0.20151837270341208"/>
          <c:h val="0.340858121901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CA" b="1">
                <a:solidFill>
                  <a:schemeClr val="tx1">
                    <a:lumMod val="75000"/>
                    <a:lumOff val="25000"/>
                  </a:schemeClr>
                </a:solidFill>
                <a:latin typeface="+mj-lt"/>
              </a:rPr>
              <a:t>Department Efficiency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bubbleChart>
        <c:varyColors val="0"/>
        <c:ser>
          <c:idx val="0"/>
          <c:order val="0"/>
          <c:spPr>
            <a:solidFill>
              <a:schemeClr val="accent4">
                <a:alpha val="75000"/>
              </a:schemeClr>
            </a:solidFill>
            <a:ln>
              <a:noFill/>
            </a:ln>
            <a:effectLst/>
          </c:spPr>
          <c:invertIfNegative val="0"/>
          <c:dLbls>
            <c:dLbl>
              <c:idx val="0"/>
              <c:layout>
                <c:manualLayout>
                  <c:x val="1.4382629257794484E-3"/>
                  <c:y val="-3.0079861963239928E-2"/>
                </c:manualLayout>
              </c:layout>
              <c:tx>
                <c:rich>
                  <a:bodyPr/>
                  <a:lstStyle/>
                  <a:p>
                    <a:fld id="{549CF95E-E4E7-4615-9E39-CF8582C235FB}"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4C7-4241-8CD2-E44332376B50}"/>
                </c:ext>
              </c:extLst>
            </c:dLbl>
            <c:dLbl>
              <c:idx val="1"/>
              <c:layout>
                <c:manualLayout>
                  <c:x val="-3.106586511690437E-2"/>
                  <c:y val="0.15213702195348106"/>
                </c:manualLayout>
              </c:layout>
              <c:tx>
                <c:rich>
                  <a:bodyPr/>
                  <a:lstStyle/>
                  <a:p>
                    <a:fld id="{E0C0DD61-3BE4-4783-A449-A93DEAC8E4B7}"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4C7-4241-8CD2-E44332376B50}"/>
                </c:ext>
              </c:extLst>
            </c:dLbl>
            <c:dLbl>
              <c:idx val="2"/>
              <c:layout>
                <c:manualLayout>
                  <c:x val="-0.17617777789474548"/>
                  <c:y val="7.2852013738809104E-2"/>
                </c:manualLayout>
              </c:layout>
              <c:tx>
                <c:rich>
                  <a:bodyPr/>
                  <a:lstStyle/>
                  <a:p>
                    <a:fld id="{A63BDF19-A3D1-4C53-B08C-E06914CDC83E}"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4C7-4241-8CD2-E44332376B50}"/>
                </c:ext>
              </c:extLst>
            </c:dLbl>
            <c:dLbl>
              <c:idx val="3"/>
              <c:tx>
                <c:rich>
                  <a:bodyPr/>
                  <a:lstStyle/>
                  <a:p>
                    <a:fld id="{9FB957F7-94A1-4548-AEC0-0BF964FBA3D2}" type="CELLRANGE">
                      <a:rPr lang="en-CA"/>
                      <a:pPr/>
                      <a:t>[CELLRANGE]</a:t>
                    </a:fld>
                    <a:endParaRPr lang="en-CA"/>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4C7-4241-8CD2-E44332376B50}"/>
                </c:ext>
              </c:extLst>
            </c:dLbl>
            <c:dLbl>
              <c:idx val="4"/>
              <c:layout>
                <c:manualLayout>
                  <c:x val="-0.14867445363882936"/>
                  <c:y val="0.14870195930467001"/>
                </c:manualLayout>
              </c:layout>
              <c:tx>
                <c:rich>
                  <a:bodyPr/>
                  <a:lstStyle/>
                  <a:p>
                    <a:fld id="{0094A2C5-8E64-4922-A9E9-A5BDA6A9D2C6}"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4C7-4241-8CD2-E44332376B5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75000"/>
                          <a:lumOff val="25000"/>
                        </a:schemeClr>
                      </a:solidFill>
                      <a:round/>
                    </a:ln>
                    <a:effectLst/>
                  </c:spPr>
                </c15:leaderLines>
              </c:ext>
            </c:extLst>
          </c:dLbls>
          <c:xVal>
            <c:numRef>
              <c:f>'Dept Efficiency'!$B$2:$B$6</c:f>
              <c:numCache>
                <c:formatCode>"$"#,##0</c:formatCode>
                <c:ptCount val="5"/>
                <c:pt idx="0">
                  <c:v>72310.074074074073</c:v>
                </c:pt>
                <c:pt idx="1">
                  <c:v>71224.705882352937</c:v>
                </c:pt>
                <c:pt idx="2">
                  <c:v>81560.565217391311</c:v>
                </c:pt>
                <c:pt idx="3">
                  <c:v>80286.727272727279</c:v>
                </c:pt>
                <c:pt idx="4">
                  <c:v>69912</c:v>
                </c:pt>
              </c:numCache>
            </c:numRef>
          </c:xVal>
          <c:yVal>
            <c:numRef>
              <c:f>'Dept Efficiency'!$C$2:$C$6</c:f>
              <c:numCache>
                <c:formatCode>0.00</c:formatCode>
                <c:ptCount val="5"/>
                <c:pt idx="0">
                  <c:v>3.0370370370370372</c:v>
                </c:pt>
                <c:pt idx="1">
                  <c:v>3</c:v>
                </c:pt>
                <c:pt idx="2">
                  <c:v>2.652173913043478</c:v>
                </c:pt>
                <c:pt idx="3">
                  <c:v>3</c:v>
                </c:pt>
                <c:pt idx="4">
                  <c:v>3</c:v>
                </c:pt>
              </c:numCache>
            </c:numRef>
          </c:yVal>
          <c:bubbleSize>
            <c:numRef>
              <c:f>'Dept Efficiency'!$D$2:$D$6</c:f>
              <c:numCache>
                <c:formatCode>General</c:formatCode>
                <c:ptCount val="5"/>
                <c:pt idx="0">
                  <c:v>27</c:v>
                </c:pt>
                <c:pt idx="1">
                  <c:v>17</c:v>
                </c:pt>
                <c:pt idx="2">
                  <c:v>23</c:v>
                </c:pt>
                <c:pt idx="3">
                  <c:v>11</c:v>
                </c:pt>
                <c:pt idx="4">
                  <c:v>22</c:v>
                </c:pt>
              </c:numCache>
            </c:numRef>
          </c:bubbleSize>
          <c:bubble3D val="1"/>
          <c:extLst>
            <c:ext xmlns:c15="http://schemas.microsoft.com/office/drawing/2012/chart" uri="{02D57815-91ED-43cb-92C2-25804820EDAC}">
              <c15:datalabelsRange>
                <c15:f>'Dept Efficiency'!$A$2:$A$6</c15:f>
                <c15:dlblRangeCache>
                  <c:ptCount val="5"/>
                  <c:pt idx="0">
                    <c:v>HR</c:v>
                  </c:pt>
                  <c:pt idx="1">
                    <c:v>Sales</c:v>
                  </c:pt>
                  <c:pt idx="2">
                    <c:v>IT</c:v>
                  </c:pt>
                  <c:pt idx="3">
                    <c:v>Finance</c:v>
                  </c:pt>
                  <c:pt idx="4">
                    <c:v>Marketing</c:v>
                  </c:pt>
                </c15:dlblRangeCache>
              </c15:datalabelsRange>
            </c:ext>
            <c:ext xmlns:c16="http://schemas.microsoft.com/office/drawing/2014/chart" uri="{C3380CC4-5D6E-409C-BE32-E72D297353CC}">
              <c16:uniqueId val="{00000000-64C7-4241-8CD2-E44332376B50}"/>
            </c:ext>
          </c:extLst>
        </c:ser>
        <c:dLbls>
          <c:showLegendKey val="0"/>
          <c:showVal val="0"/>
          <c:showCatName val="0"/>
          <c:showSerName val="0"/>
          <c:showPercent val="0"/>
          <c:showBubbleSize val="0"/>
        </c:dLbls>
        <c:bubbleScale val="100"/>
        <c:showNegBubbles val="0"/>
        <c:axId val="1468282800"/>
        <c:axId val="1468292880"/>
      </c:bubbleChart>
      <c:valAx>
        <c:axId val="1468282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0"/>
                  <a:t>Avg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68292880"/>
        <c:crosses val="autoZero"/>
        <c:crossBetween val="midCat"/>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468292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0"/>
                  <a:t>Avg</a:t>
                </a:r>
                <a:r>
                  <a:rPr lang="en-CA" b="1" baseline="0"/>
                  <a:t> </a:t>
                </a:r>
                <a:r>
                  <a:rPr lang="en-CA" b="0" baseline="0"/>
                  <a:t>Performance</a:t>
                </a:r>
                <a:endParaRPr lang="en-CA"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682828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tx1">
                    <a:lumMod val="75000"/>
                    <a:lumOff val="25000"/>
                  </a:schemeClr>
                </a:solidFill>
                <a:latin typeface="+mj-lt"/>
                <a:ea typeface="+mj-ea"/>
                <a:cs typeface="+mj-cs"/>
              </a:defRPr>
            </a:pPr>
            <a:r>
              <a:rPr lang="en-US" baseline="0">
                <a:solidFill>
                  <a:schemeClr val="tx1">
                    <a:lumMod val="75000"/>
                    <a:lumOff val="25000"/>
                  </a:schemeClr>
                </a:solidFill>
              </a:rPr>
              <a:t>Overtime Hours vs Performance_Rating</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75000"/>
                  <a:lumOff val="25000"/>
                </a:schemeClr>
              </a:solidFill>
              <a:latin typeface="+mj-lt"/>
              <a:ea typeface="+mj-ea"/>
              <a:cs typeface="+mj-cs"/>
            </a:defRPr>
          </a:pPr>
          <a:endParaRPr lang="en-US"/>
        </a:p>
      </c:txPr>
    </c:title>
    <c:autoTitleDeleted val="0"/>
    <c:plotArea>
      <c:layout/>
      <c:scatterChart>
        <c:scatterStyle val="lineMarker"/>
        <c:varyColors val="0"/>
        <c:ser>
          <c:idx val="0"/>
          <c:order val="0"/>
          <c:tx>
            <c:strRef>
              <c:f>'OT vs Performance'!$B$1</c:f>
              <c:strCache>
                <c:ptCount val="1"/>
                <c:pt idx="0">
                  <c:v>Performance_Rating</c:v>
                </c:pt>
              </c:strCache>
            </c:strRef>
          </c:tx>
          <c:spPr>
            <a:ln w="25400" cap="rnd">
              <a:noFill/>
              <a:round/>
            </a:ln>
            <a:effectLst/>
          </c:spPr>
          <c:marker>
            <c:symbol val="diamond"/>
            <c:size val="6"/>
            <c:spPr>
              <a:solidFill>
                <a:schemeClr val="lt1"/>
              </a:solidFill>
              <a:ln w="15875">
                <a:solidFill>
                  <a:schemeClr val="accent1"/>
                </a:solidFill>
                <a:round/>
              </a:ln>
              <a:effectLst/>
            </c:spPr>
          </c:marker>
          <c:trendline>
            <c:spPr>
              <a:ln w="19050" cap="rnd">
                <a:solidFill>
                  <a:schemeClr val="accent1"/>
                </a:solidFill>
              </a:ln>
              <a:effectLst/>
            </c:spPr>
            <c:trendlineType val="linear"/>
            <c:dispRSqr val="1"/>
            <c:dispEq val="1"/>
            <c:trendlineLbl>
              <c:layout>
                <c:manualLayout>
                  <c:x val="0.17850464161778434"/>
                  <c:y val="-2.6677676298573916E-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trendlineLbl>
          </c:trendline>
          <c:xVal>
            <c:numRef>
              <c:f>'OT vs Performance'!$A$2:$A$101</c:f>
              <c:numCache>
                <c:formatCode>General</c:formatCode>
                <c:ptCount val="100"/>
                <c:pt idx="0">
                  <c:v>6</c:v>
                </c:pt>
                <c:pt idx="1">
                  <c:v>10</c:v>
                </c:pt>
                <c:pt idx="2">
                  <c:v>1</c:v>
                </c:pt>
                <c:pt idx="3">
                  <c:v>22</c:v>
                </c:pt>
                <c:pt idx="4">
                  <c:v>16</c:v>
                </c:pt>
                <c:pt idx="5">
                  <c:v>28</c:v>
                </c:pt>
                <c:pt idx="6">
                  <c:v>16</c:v>
                </c:pt>
                <c:pt idx="7">
                  <c:v>26</c:v>
                </c:pt>
                <c:pt idx="8">
                  <c:v>6</c:v>
                </c:pt>
                <c:pt idx="9">
                  <c:v>10</c:v>
                </c:pt>
                <c:pt idx="10">
                  <c:v>25</c:v>
                </c:pt>
                <c:pt idx="11">
                  <c:v>15</c:v>
                </c:pt>
                <c:pt idx="12">
                  <c:v>17</c:v>
                </c:pt>
                <c:pt idx="13">
                  <c:v>19</c:v>
                </c:pt>
                <c:pt idx="14">
                  <c:v>28</c:v>
                </c:pt>
                <c:pt idx="15">
                  <c:v>27</c:v>
                </c:pt>
                <c:pt idx="16">
                  <c:v>14</c:v>
                </c:pt>
                <c:pt idx="17">
                  <c:v>2</c:v>
                </c:pt>
                <c:pt idx="18">
                  <c:v>13</c:v>
                </c:pt>
                <c:pt idx="19">
                  <c:v>19</c:v>
                </c:pt>
                <c:pt idx="20">
                  <c:v>13</c:v>
                </c:pt>
                <c:pt idx="21">
                  <c:v>18</c:v>
                </c:pt>
                <c:pt idx="22">
                  <c:v>0</c:v>
                </c:pt>
                <c:pt idx="23">
                  <c:v>13</c:v>
                </c:pt>
                <c:pt idx="24">
                  <c:v>6</c:v>
                </c:pt>
                <c:pt idx="25">
                  <c:v>1</c:v>
                </c:pt>
                <c:pt idx="26">
                  <c:v>5</c:v>
                </c:pt>
                <c:pt idx="27">
                  <c:v>24</c:v>
                </c:pt>
                <c:pt idx="28">
                  <c:v>20</c:v>
                </c:pt>
                <c:pt idx="29">
                  <c:v>30</c:v>
                </c:pt>
                <c:pt idx="30">
                  <c:v>13</c:v>
                </c:pt>
                <c:pt idx="31">
                  <c:v>15</c:v>
                </c:pt>
                <c:pt idx="32">
                  <c:v>30</c:v>
                </c:pt>
                <c:pt idx="33">
                  <c:v>22</c:v>
                </c:pt>
                <c:pt idx="34">
                  <c:v>18</c:v>
                </c:pt>
                <c:pt idx="35">
                  <c:v>9</c:v>
                </c:pt>
                <c:pt idx="36">
                  <c:v>27</c:v>
                </c:pt>
                <c:pt idx="37">
                  <c:v>16</c:v>
                </c:pt>
                <c:pt idx="38">
                  <c:v>11</c:v>
                </c:pt>
                <c:pt idx="39">
                  <c:v>19</c:v>
                </c:pt>
                <c:pt idx="40">
                  <c:v>22</c:v>
                </c:pt>
                <c:pt idx="41">
                  <c:v>29</c:v>
                </c:pt>
                <c:pt idx="42">
                  <c:v>6</c:v>
                </c:pt>
                <c:pt idx="43">
                  <c:v>12</c:v>
                </c:pt>
                <c:pt idx="44">
                  <c:v>16</c:v>
                </c:pt>
                <c:pt idx="45">
                  <c:v>11</c:v>
                </c:pt>
                <c:pt idx="46">
                  <c:v>1</c:v>
                </c:pt>
                <c:pt idx="47">
                  <c:v>0</c:v>
                </c:pt>
                <c:pt idx="48">
                  <c:v>2</c:v>
                </c:pt>
                <c:pt idx="49">
                  <c:v>16</c:v>
                </c:pt>
                <c:pt idx="50">
                  <c:v>29</c:v>
                </c:pt>
                <c:pt idx="51">
                  <c:v>28</c:v>
                </c:pt>
                <c:pt idx="52">
                  <c:v>5</c:v>
                </c:pt>
                <c:pt idx="53">
                  <c:v>7</c:v>
                </c:pt>
                <c:pt idx="54">
                  <c:v>22</c:v>
                </c:pt>
                <c:pt idx="55">
                  <c:v>5</c:v>
                </c:pt>
                <c:pt idx="56">
                  <c:v>30</c:v>
                </c:pt>
                <c:pt idx="57">
                  <c:v>0</c:v>
                </c:pt>
                <c:pt idx="58">
                  <c:v>20</c:v>
                </c:pt>
                <c:pt idx="59">
                  <c:v>18</c:v>
                </c:pt>
                <c:pt idx="60">
                  <c:v>11</c:v>
                </c:pt>
                <c:pt idx="61">
                  <c:v>20</c:v>
                </c:pt>
                <c:pt idx="62">
                  <c:v>18</c:v>
                </c:pt>
                <c:pt idx="63">
                  <c:v>5</c:v>
                </c:pt>
                <c:pt idx="64">
                  <c:v>18</c:v>
                </c:pt>
                <c:pt idx="65">
                  <c:v>5</c:v>
                </c:pt>
                <c:pt idx="66">
                  <c:v>14</c:v>
                </c:pt>
                <c:pt idx="67">
                  <c:v>25</c:v>
                </c:pt>
                <c:pt idx="68">
                  <c:v>7</c:v>
                </c:pt>
                <c:pt idx="69">
                  <c:v>13</c:v>
                </c:pt>
                <c:pt idx="70">
                  <c:v>29</c:v>
                </c:pt>
                <c:pt idx="71">
                  <c:v>3</c:v>
                </c:pt>
                <c:pt idx="72">
                  <c:v>9</c:v>
                </c:pt>
                <c:pt idx="73">
                  <c:v>21</c:v>
                </c:pt>
                <c:pt idx="74">
                  <c:v>16</c:v>
                </c:pt>
                <c:pt idx="75">
                  <c:v>17</c:v>
                </c:pt>
                <c:pt idx="76">
                  <c:v>23</c:v>
                </c:pt>
                <c:pt idx="77">
                  <c:v>16</c:v>
                </c:pt>
                <c:pt idx="78">
                  <c:v>25</c:v>
                </c:pt>
                <c:pt idx="79">
                  <c:v>8</c:v>
                </c:pt>
                <c:pt idx="80">
                  <c:v>11</c:v>
                </c:pt>
                <c:pt idx="81">
                  <c:v>13</c:v>
                </c:pt>
                <c:pt idx="82">
                  <c:v>15</c:v>
                </c:pt>
                <c:pt idx="83">
                  <c:v>6</c:v>
                </c:pt>
                <c:pt idx="84">
                  <c:v>26</c:v>
                </c:pt>
                <c:pt idx="85">
                  <c:v>28</c:v>
                </c:pt>
                <c:pt idx="86">
                  <c:v>17</c:v>
                </c:pt>
                <c:pt idx="87">
                  <c:v>29</c:v>
                </c:pt>
                <c:pt idx="88">
                  <c:v>18</c:v>
                </c:pt>
                <c:pt idx="89">
                  <c:v>14</c:v>
                </c:pt>
                <c:pt idx="90">
                  <c:v>24</c:v>
                </c:pt>
                <c:pt idx="91">
                  <c:v>15</c:v>
                </c:pt>
                <c:pt idx="92">
                  <c:v>29</c:v>
                </c:pt>
                <c:pt idx="93">
                  <c:v>11</c:v>
                </c:pt>
                <c:pt idx="94">
                  <c:v>8</c:v>
                </c:pt>
                <c:pt idx="95">
                  <c:v>15</c:v>
                </c:pt>
                <c:pt idx="96">
                  <c:v>25</c:v>
                </c:pt>
                <c:pt idx="97">
                  <c:v>14</c:v>
                </c:pt>
                <c:pt idx="98">
                  <c:v>29</c:v>
                </c:pt>
                <c:pt idx="99">
                  <c:v>0</c:v>
                </c:pt>
              </c:numCache>
            </c:numRef>
          </c:xVal>
          <c:yVal>
            <c:numRef>
              <c:f>'OT vs Performance'!$B$2:$B$101</c:f>
              <c:numCache>
                <c:formatCode>General</c:formatCode>
                <c:ptCount val="100"/>
                <c:pt idx="0">
                  <c:v>5</c:v>
                </c:pt>
                <c:pt idx="1">
                  <c:v>5</c:v>
                </c:pt>
                <c:pt idx="2">
                  <c:v>1</c:v>
                </c:pt>
                <c:pt idx="3">
                  <c:v>1</c:v>
                </c:pt>
                <c:pt idx="4">
                  <c:v>3</c:v>
                </c:pt>
                <c:pt idx="5">
                  <c:v>5</c:v>
                </c:pt>
                <c:pt idx="6">
                  <c:v>4</c:v>
                </c:pt>
                <c:pt idx="7">
                  <c:v>5</c:v>
                </c:pt>
                <c:pt idx="8">
                  <c:v>2</c:v>
                </c:pt>
                <c:pt idx="9">
                  <c:v>5</c:v>
                </c:pt>
                <c:pt idx="10">
                  <c:v>4</c:v>
                </c:pt>
                <c:pt idx="11">
                  <c:v>5</c:v>
                </c:pt>
                <c:pt idx="12">
                  <c:v>1</c:v>
                </c:pt>
                <c:pt idx="13">
                  <c:v>3</c:v>
                </c:pt>
                <c:pt idx="14">
                  <c:v>4</c:v>
                </c:pt>
                <c:pt idx="15">
                  <c:v>2</c:v>
                </c:pt>
                <c:pt idx="16">
                  <c:v>1</c:v>
                </c:pt>
                <c:pt idx="17">
                  <c:v>3</c:v>
                </c:pt>
                <c:pt idx="18">
                  <c:v>1</c:v>
                </c:pt>
                <c:pt idx="19">
                  <c:v>4</c:v>
                </c:pt>
                <c:pt idx="20">
                  <c:v>4</c:v>
                </c:pt>
                <c:pt idx="21">
                  <c:v>5</c:v>
                </c:pt>
                <c:pt idx="22">
                  <c:v>4</c:v>
                </c:pt>
                <c:pt idx="23">
                  <c:v>1</c:v>
                </c:pt>
                <c:pt idx="24">
                  <c:v>3</c:v>
                </c:pt>
                <c:pt idx="25">
                  <c:v>1</c:v>
                </c:pt>
                <c:pt idx="26">
                  <c:v>2</c:v>
                </c:pt>
                <c:pt idx="27">
                  <c:v>4</c:v>
                </c:pt>
                <c:pt idx="28">
                  <c:v>4</c:v>
                </c:pt>
                <c:pt idx="29">
                  <c:v>5</c:v>
                </c:pt>
                <c:pt idx="30">
                  <c:v>2</c:v>
                </c:pt>
                <c:pt idx="31">
                  <c:v>2</c:v>
                </c:pt>
                <c:pt idx="32">
                  <c:v>4</c:v>
                </c:pt>
                <c:pt idx="33">
                  <c:v>5</c:v>
                </c:pt>
                <c:pt idx="34">
                  <c:v>3</c:v>
                </c:pt>
                <c:pt idx="35">
                  <c:v>3</c:v>
                </c:pt>
                <c:pt idx="36">
                  <c:v>5</c:v>
                </c:pt>
                <c:pt idx="37">
                  <c:v>1</c:v>
                </c:pt>
                <c:pt idx="38">
                  <c:v>5</c:v>
                </c:pt>
                <c:pt idx="39">
                  <c:v>2</c:v>
                </c:pt>
                <c:pt idx="40">
                  <c:v>3</c:v>
                </c:pt>
                <c:pt idx="41">
                  <c:v>3</c:v>
                </c:pt>
                <c:pt idx="42">
                  <c:v>3</c:v>
                </c:pt>
                <c:pt idx="43">
                  <c:v>1</c:v>
                </c:pt>
                <c:pt idx="44">
                  <c:v>5</c:v>
                </c:pt>
                <c:pt idx="45">
                  <c:v>3</c:v>
                </c:pt>
                <c:pt idx="46">
                  <c:v>1</c:v>
                </c:pt>
                <c:pt idx="47">
                  <c:v>4</c:v>
                </c:pt>
                <c:pt idx="48">
                  <c:v>2</c:v>
                </c:pt>
                <c:pt idx="49">
                  <c:v>1</c:v>
                </c:pt>
                <c:pt idx="50">
                  <c:v>1</c:v>
                </c:pt>
                <c:pt idx="51">
                  <c:v>3</c:v>
                </c:pt>
                <c:pt idx="52">
                  <c:v>4</c:v>
                </c:pt>
                <c:pt idx="53">
                  <c:v>2</c:v>
                </c:pt>
                <c:pt idx="54">
                  <c:v>4</c:v>
                </c:pt>
                <c:pt idx="55">
                  <c:v>2</c:v>
                </c:pt>
                <c:pt idx="56">
                  <c:v>3</c:v>
                </c:pt>
                <c:pt idx="57">
                  <c:v>2</c:v>
                </c:pt>
                <c:pt idx="58">
                  <c:v>5</c:v>
                </c:pt>
                <c:pt idx="59">
                  <c:v>4</c:v>
                </c:pt>
                <c:pt idx="60">
                  <c:v>5</c:v>
                </c:pt>
                <c:pt idx="61">
                  <c:v>3</c:v>
                </c:pt>
                <c:pt idx="62">
                  <c:v>1</c:v>
                </c:pt>
                <c:pt idx="63">
                  <c:v>5</c:v>
                </c:pt>
                <c:pt idx="64">
                  <c:v>1</c:v>
                </c:pt>
                <c:pt idx="65">
                  <c:v>3</c:v>
                </c:pt>
                <c:pt idx="66">
                  <c:v>1</c:v>
                </c:pt>
                <c:pt idx="67">
                  <c:v>2</c:v>
                </c:pt>
                <c:pt idx="68">
                  <c:v>1</c:v>
                </c:pt>
                <c:pt idx="69">
                  <c:v>4</c:v>
                </c:pt>
                <c:pt idx="70">
                  <c:v>4</c:v>
                </c:pt>
                <c:pt idx="71">
                  <c:v>3</c:v>
                </c:pt>
                <c:pt idx="72">
                  <c:v>1</c:v>
                </c:pt>
                <c:pt idx="73">
                  <c:v>2</c:v>
                </c:pt>
                <c:pt idx="74">
                  <c:v>2</c:v>
                </c:pt>
                <c:pt idx="75">
                  <c:v>1</c:v>
                </c:pt>
                <c:pt idx="76">
                  <c:v>4</c:v>
                </c:pt>
                <c:pt idx="77">
                  <c:v>2</c:v>
                </c:pt>
                <c:pt idx="78">
                  <c:v>3</c:v>
                </c:pt>
                <c:pt idx="79">
                  <c:v>5</c:v>
                </c:pt>
                <c:pt idx="80">
                  <c:v>5</c:v>
                </c:pt>
                <c:pt idx="81">
                  <c:v>3</c:v>
                </c:pt>
                <c:pt idx="82">
                  <c:v>1</c:v>
                </c:pt>
                <c:pt idx="83">
                  <c:v>3</c:v>
                </c:pt>
                <c:pt idx="84">
                  <c:v>4</c:v>
                </c:pt>
                <c:pt idx="85">
                  <c:v>2</c:v>
                </c:pt>
                <c:pt idx="86">
                  <c:v>2</c:v>
                </c:pt>
                <c:pt idx="87">
                  <c:v>3</c:v>
                </c:pt>
                <c:pt idx="88">
                  <c:v>4</c:v>
                </c:pt>
                <c:pt idx="89">
                  <c:v>2</c:v>
                </c:pt>
                <c:pt idx="90">
                  <c:v>3</c:v>
                </c:pt>
                <c:pt idx="91">
                  <c:v>5</c:v>
                </c:pt>
                <c:pt idx="92">
                  <c:v>2</c:v>
                </c:pt>
                <c:pt idx="93">
                  <c:v>3</c:v>
                </c:pt>
                <c:pt idx="94">
                  <c:v>3</c:v>
                </c:pt>
                <c:pt idx="95">
                  <c:v>4</c:v>
                </c:pt>
                <c:pt idx="96">
                  <c:v>1</c:v>
                </c:pt>
                <c:pt idx="97">
                  <c:v>1</c:v>
                </c:pt>
                <c:pt idx="98">
                  <c:v>1</c:v>
                </c:pt>
                <c:pt idx="99">
                  <c:v>3</c:v>
                </c:pt>
              </c:numCache>
            </c:numRef>
          </c:yVal>
          <c:smooth val="0"/>
          <c:extLst>
            <c:ext xmlns:c16="http://schemas.microsoft.com/office/drawing/2014/chart" uri="{C3380CC4-5D6E-409C-BE32-E72D297353CC}">
              <c16:uniqueId val="{00000000-1FEB-475A-9AF1-618E22D30FD7}"/>
            </c:ext>
          </c:extLst>
        </c:ser>
        <c:dLbls>
          <c:showLegendKey val="0"/>
          <c:showVal val="0"/>
          <c:showCatName val="0"/>
          <c:showSerName val="0"/>
          <c:showPercent val="0"/>
          <c:showBubbleSize val="0"/>
        </c:dLbls>
        <c:axId val="257007327"/>
        <c:axId val="257002047"/>
      </c:scatterChart>
      <c:valAx>
        <c:axId val="25700732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r>
                  <a:rPr lang="en-CA" sz="1000" b="0" baseline="0"/>
                  <a:t>Overtime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dk1">
                    <a:lumMod val="65000"/>
                    <a:lumOff val="35000"/>
                  </a:schemeClr>
                </a:solidFill>
                <a:latin typeface="+mn-lt"/>
                <a:ea typeface="+mn-ea"/>
                <a:cs typeface="+mn-cs"/>
              </a:defRPr>
            </a:pPr>
            <a:endParaRPr lang="en-US"/>
          </a:p>
        </c:txPr>
        <c:crossAx val="257002047"/>
        <c:crosses val="autoZero"/>
        <c:crossBetween val="midCat"/>
      </c:valAx>
      <c:valAx>
        <c:axId val="25700204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r>
                  <a:rPr lang="en-CA" sz="1000" b="0" baseline="0"/>
                  <a:t>Performance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57007327"/>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[HR_Analytics_Data.xlsx]Dept that earns the most!PivotTable1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latin typeface="+mj-lt"/>
              </a:rPr>
              <a:t>Monthly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77777777777777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'Dept that earns the most'!$B$3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C5A1-435D-99E6-2EA9E98C51AB}"/>
              </c:ext>
            </c:extLst>
          </c:dPt>
          <c:dLbls>
            <c:dLbl>
              <c:idx val="3"/>
              <c:layout>
                <c:manualLayout>
                  <c:x val="-2.7777777777777776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A1-435D-99E6-2EA9E98C51AB}"/>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that earns the most'!$A$4:$A$9</c:f>
              <c:strCache>
                <c:ptCount val="5"/>
                <c:pt idx="0">
                  <c:v>Finance</c:v>
                </c:pt>
                <c:pt idx="1">
                  <c:v>HR</c:v>
                </c:pt>
                <c:pt idx="2">
                  <c:v>IT</c:v>
                </c:pt>
                <c:pt idx="3">
                  <c:v>Marketing</c:v>
                </c:pt>
                <c:pt idx="4">
                  <c:v>Sales</c:v>
                </c:pt>
              </c:strCache>
            </c:strRef>
          </c:cat>
          <c:val>
            <c:numRef>
              <c:f>'Dept that earns the most'!$B$4:$B$9</c:f>
              <c:numCache>
                <c:formatCode>"$"#,##0</c:formatCode>
                <c:ptCount val="5"/>
                <c:pt idx="0">
                  <c:v>80286.727272727279</c:v>
                </c:pt>
                <c:pt idx="1">
                  <c:v>72310.074074074073</c:v>
                </c:pt>
                <c:pt idx="2">
                  <c:v>81560.565217391311</c:v>
                </c:pt>
                <c:pt idx="3">
                  <c:v>69912</c:v>
                </c:pt>
                <c:pt idx="4">
                  <c:v>71224.705882352937</c:v>
                </c:pt>
              </c:numCache>
            </c:numRef>
          </c:val>
          <c:smooth val="0"/>
          <c:extLst>
            <c:ext xmlns:c16="http://schemas.microsoft.com/office/drawing/2014/chart" uri="{C3380CC4-5D6E-409C-BE32-E72D297353CC}">
              <c16:uniqueId val="{00000000-C5A1-435D-99E6-2EA9E98C51AB}"/>
            </c:ext>
          </c:extLst>
        </c:ser>
        <c:dLbls>
          <c:showLegendKey val="0"/>
          <c:showVal val="0"/>
          <c:showCatName val="0"/>
          <c:showSerName val="0"/>
          <c:showPercent val="0"/>
          <c:showBubbleSize val="0"/>
        </c:dLbls>
        <c:marker val="1"/>
        <c:smooth val="0"/>
        <c:axId val="1163839631"/>
        <c:axId val="1163840111"/>
      </c:lineChart>
      <c:catAx>
        <c:axId val="11638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63840111"/>
        <c:crosses val="autoZero"/>
        <c:auto val="1"/>
        <c:lblAlgn val="ctr"/>
        <c:lblOffset val="100"/>
        <c:noMultiLvlLbl val="0"/>
      </c:catAx>
      <c:valAx>
        <c:axId val="1163840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638396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130848</xdr:colOff>
      <xdr:row>0</xdr:row>
      <xdr:rowOff>107758</xdr:rowOff>
    </xdr:from>
    <xdr:to>
      <xdr:col>22</xdr:col>
      <xdr:colOff>7697</xdr:colOff>
      <xdr:row>44</xdr:row>
      <xdr:rowOff>15396</xdr:rowOff>
    </xdr:to>
    <xdr:grpSp>
      <xdr:nvGrpSpPr>
        <xdr:cNvPr id="50" name="Group 49">
          <a:extLst>
            <a:ext uri="{FF2B5EF4-FFF2-40B4-BE49-F238E27FC236}">
              <a16:creationId xmlns:a16="http://schemas.microsoft.com/office/drawing/2014/main" id="{36CCAC85-C4E2-2ACF-6DE6-0250D2B67EBB}"/>
            </a:ext>
          </a:extLst>
        </xdr:cNvPr>
        <xdr:cNvGrpSpPr/>
      </xdr:nvGrpSpPr>
      <xdr:grpSpPr>
        <a:xfrm>
          <a:off x="130848" y="107758"/>
          <a:ext cx="13288049" cy="7954358"/>
          <a:chOff x="130848" y="107758"/>
          <a:chExt cx="13288049" cy="7954358"/>
        </a:xfrm>
      </xdr:grpSpPr>
      <xdr:graphicFrame macro="">
        <xdr:nvGraphicFramePr>
          <xdr:cNvPr id="33" name="Chart 32">
            <a:extLst>
              <a:ext uri="{FF2B5EF4-FFF2-40B4-BE49-F238E27FC236}">
                <a16:creationId xmlns:a16="http://schemas.microsoft.com/office/drawing/2014/main" id="{EC52B241-D666-480D-A62B-C46D5959608F}"/>
              </a:ext>
            </a:extLst>
          </xdr:cNvPr>
          <xdr:cNvGraphicFramePr>
            <a:graphicFrameLocks/>
          </xdr:cNvGraphicFramePr>
        </xdr:nvGraphicFramePr>
        <xdr:xfrm>
          <a:off x="2303585" y="4891613"/>
          <a:ext cx="5269523" cy="317050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49" name="Group 48">
            <a:extLst>
              <a:ext uri="{FF2B5EF4-FFF2-40B4-BE49-F238E27FC236}">
                <a16:creationId xmlns:a16="http://schemas.microsoft.com/office/drawing/2014/main" id="{3F6C7B65-2EC7-A19E-B53F-CA6A4D02C9AC}"/>
              </a:ext>
            </a:extLst>
          </xdr:cNvPr>
          <xdr:cNvGrpSpPr/>
        </xdr:nvGrpSpPr>
        <xdr:grpSpPr>
          <a:xfrm>
            <a:off x="130848" y="107758"/>
            <a:ext cx="13288049" cy="7954358"/>
            <a:chOff x="130848" y="107758"/>
            <a:chExt cx="13288049" cy="7954358"/>
          </a:xfrm>
        </xdr:grpSpPr>
        <xdr:grpSp>
          <xdr:nvGrpSpPr>
            <xdr:cNvPr id="24" name="Group 23">
              <a:extLst>
                <a:ext uri="{FF2B5EF4-FFF2-40B4-BE49-F238E27FC236}">
                  <a16:creationId xmlns:a16="http://schemas.microsoft.com/office/drawing/2014/main" id="{191196D4-A2A6-1150-AD03-2913AD32631F}"/>
                </a:ext>
              </a:extLst>
            </xdr:cNvPr>
            <xdr:cNvGrpSpPr/>
          </xdr:nvGrpSpPr>
          <xdr:grpSpPr>
            <a:xfrm>
              <a:off x="196214" y="896392"/>
              <a:ext cx="13161645" cy="849053"/>
              <a:chOff x="2345055" y="795167"/>
              <a:chExt cx="10736580" cy="701075"/>
            </a:xfrm>
          </xdr:grpSpPr>
          <xdr:grpSp>
            <xdr:nvGrpSpPr>
              <xdr:cNvPr id="7" name="Group 6">
                <a:extLst>
                  <a:ext uri="{FF2B5EF4-FFF2-40B4-BE49-F238E27FC236}">
                    <a16:creationId xmlns:a16="http://schemas.microsoft.com/office/drawing/2014/main" id="{7B1BBEAA-FEE7-CDBA-E827-99585381BC6A}"/>
                  </a:ext>
                </a:extLst>
              </xdr:cNvPr>
              <xdr:cNvGrpSpPr/>
            </xdr:nvGrpSpPr>
            <xdr:grpSpPr>
              <a:xfrm>
                <a:off x="2345055" y="795202"/>
                <a:ext cx="1874519" cy="701040"/>
                <a:chOff x="449580" y="777240"/>
                <a:chExt cx="1874520" cy="701040"/>
              </a:xfrm>
            </xdr:grpSpPr>
            <xdr:sp macro="" textlink="">
              <xdr:nvSpPr>
                <xdr:cNvPr id="4" name="Rectangle 3">
                  <a:extLst>
                    <a:ext uri="{FF2B5EF4-FFF2-40B4-BE49-F238E27FC236}">
                      <a16:creationId xmlns:a16="http://schemas.microsoft.com/office/drawing/2014/main" id="{1B696EF4-D02D-7F16-A66A-35F11DAC2610}"/>
                    </a:ext>
                  </a:extLst>
                </xdr:cNvPr>
                <xdr:cNvSpPr/>
              </xdr:nvSpPr>
              <xdr:spPr>
                <a:xfrm>
                  <a:off x="449580" y="777240"/>
                  <a:ext cx="1874520" cy="7010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5" name="TextBox 4">
                  <a:extLst>
                    <a:ext uri="{FF2B5EF4-FFF2-40B4-BE49-F238E27FC236}">
                      <a16:creationId xmlns:a16="http://schemas.microsoft.com/office/drawing/2014/main" id="{7AEB950C-8B77-0722-F358-5843E403A6B1}"/>
                    </a:ext>
                  </a:extLst>
                </xdr:cNvPr>
                <xdr:cNvSpPr txBox="1"/>
              </xdr:nvSpPr>
              <xdr:spPr>
                <a:xfrm>
                  <a:off x="685800" y="1150620"/>
                  <a:ext cx="13944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0">
                      <a:solidFill>
                        <a:schemeClr val="tx1">
                          <a:lumMod val="65000"/>
                          <a:lumOff val="35000"/>
                        </a:schemeClr>
                      </a:solidFill>
                      <a:latin typeface="+mj-lt"/>
                      <a:cs typeface="Arial" panose="020B0604020202020204" pitchFamily="34" charset="0"/>
                    </a:rPr>
                    <a:t>Total Employees</a:t>
                  </a:r>
                </a:p>
              </xdr:txBody>
            </xdr:sp>
            <xdr:sp macro="" textlink="KPIEmpCount!A4">
              <xdr:nvSpPr>
                <xdr:cNvPr id="6" name="TextBox 5">
                  <a:extLst>
                    <a:ext uri="{FF2B5EF4-FFF2-40B4-BE49-F238E27FC236}">
                      <a16:creationId xmlns:a16="http://schemas.microsoft.com/office/drawing/2014/main" id="{AE206554-F2A2-7E86-58B2-5CA9C76187D4}"/>
                    </a:ext>
                  </a:extLst>
                </xdr:cNvPr>
                <xdr:cNvSpPr txBox="1"/>
              </xdr:nvSpPr>
              <xdr:spPr>
                <a:xfrm>
                  <a:off x="1062570" y="790785"/>
                  <a:ext cx="699409"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D3558A-C41F-42E4-A340-CA4DD8F9FB81}" type="TxLink">
                    <a:rPr lang="en-US" sz="2800" b="1" i="0" u="none" strike="noStrike">
                      <a:solidFill>
                        <a:srgbClr val="000000"/>
                      </a:solidFill>
                      <a:latin typeface="+mj-lt"/>
                      <a:cs typeface="Calibri"/>
                    </a:rPr>
                    <a:pPr/>
                    <a:t>100</a:t>
                  </a:fld>
                  <a:endParaRPr lang="en-CA" sz="2800" b="1">
                    <a:latin typeface="+mj-lt"/>
                  </a:endParaRPr>
                </a:p>
              </xdr:txBody>
            </xdr:sp>
          </xdr:grpSp>
          <xdr:grpSp>
            <xdr:nvGrpSpPr>
              <xdr:cNvPr id="8" name="Group 7">
                <a:extLst>
                  <a:ext uri="{FF2B5EF4-FFF2-40B4-BE49-F238E27FC236}">
                    <a16:creationId xmlns:a16="http://schemas.microsoft.com/office/drawing/2014/main" id="{C445780E-900C-D405-944B-42B428D95243}"/>
                  </a:ext>
                </a:extLst>
              </xdr:cNvPr>
              <xdr:cNvGrpSpPr/>
            </xdr:nvGrpSpPr>
            <xdr:grpSpPr>
              <a:xfrm>
                <a:off x="4560570" y="795167"/>
                <a:ext cx="1874520" cy="701075"/>
                <a:chOff x="3824424" y="752475"/>
                <a:chExt cx="1882684" cy="704306"/>
              </a:xfrm>
            </xdr:grpSpPr>
            <xdr:sp macro="" textlink="">
              <xdr:nvSpPr>
                <xdr:cNvPr id="9" name="Rectangle 8">
                  <a:extLst>
                    <a:ext uri="{FF2B5EF4-FFF2-40B4-BE49-F238E27FC236}">
                      <a16:creationId xmlns:a16="http://schemas.microsoft.com/office/drawing/2014/main" id="{676FB130-159E-F526-2173-0EFB0F3A1919}"/>
                    </a:ext>
                  </a:extLst>
                </xdr:cNvPr>
                <xdr:cNvSpPr/>
              </xdr:nvSpPr>
              <xdr:spPr>
                <a:xfrm>
                  <a:off x="3824424" y="752475"/>
                  <a:ext cx="1882684" cy="70430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0" name="TextBox 9">
                  <a:extLst>
                    <a:ext uri="{FF2B5EF4-FFF2-40B4-BE49-F238E27FC236}">
                      <a16:creationId xmlns:a16="http://schemas.microsoft.com/office/drawing/2014/main" id="{79E3E79E-1ADD-EE8C-1204-5C352962A655}"/>
                    </a:ext>
                  </a:extLst>
                </xdr:cNvPr>
                <xdr:cNvSpPr txBox="1"/>
              </xdr:nvSpPr>
              <xdr:spPr>
                <a:xfrm>
                  <a:off x="4060644" y="1127488"/>
                  <a:ext cx="1399902" cy="267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tx1">
                          <a:lumMod val="65000"/>
                          <a:lumOff val="35000"/>
                        </a:schemeClr>
                      </a:solidFill>
                      <a:latin typeface="+mj-lt"/>
                      <a:cs typeface="Arial" panose="020B0604020202020204" pitchFamily="34" charset="0"/>
                    </a:rPr>
                    <a:t>Average Salary</a:t>
                  </a:r>
                  <a:endParaRPr lang="en-CA" sz="1200" b="0">
                    <a:solidFill>
                      <a:schemeClr val="tx1">
                        <a:lumMod val="65000"/>
                        <a:lumOff val="35000"/>
                      </a:schemeClr>
                    </a:solidFill>
                    <a:latin typeface="+mj-lt"/>
                    <a:cs typeface="Arial" panose="020B0604020202020204" pitchFamily="34" charset="0"/>
                  </a:endParaRPr>
                </a:p>
              </xdr:txBody>
            </xdr:sp>
            <xdr:sp macro="" textlink="KPISalary!A4">
              <xdr:nvSpPr>
                <xdr:cNvPr id="11" name="TextBox 10">
                  <a:extLst>
                    <a:ext uri="{FF2B5EF4-FFF2-40B4-BE49-F238E27FC236}">
                      <a16:creationId xmlns:a16="http://schemas.microsoft.com/office/drawing/2014/main" id="{594492A2-6D9C-A1E1-90CD-324DB16D6B22}"/>
                    </a:ext>
                  </a:extLst>
                </xdr:cNvPr>
                <xdr:cNvSpPr txBox="1"/>
              </xdr:nvSpPr>
              <xdr:spPr>
                <a:xfrm>
                  <a:off x="4167323" y="782752"/>
                  <a:ext cx="1366429" cy="42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673004-0DCB-4DBA-AFE0-418AF4004D09}" type="TxLink">
                    <a:rPr lang="en-US" sz="2800" b="1" i="0" u="none" strike="noStrike">
                      <a:solidFill>
                        <a:srgbClr val="000000"/>
                      </a:solidFill>
                      <a:latin typeface="+mj-lt"/>
                      <a:cs typeface="Calibri"/>
                    </a:rPr>
                    <a:pPr/>
                    <a:t>$74,603</a:t>
                  </a:fld>
                  <a:endParaRPr lang="en-CA" sz="2800" b="1">
                    <a:latin typeface="+mj-lt"/>
                  </a:endParaRPr>
                </a:p>
              </xdr:txBody>
            </xdr:sp>
          </xdr:grpSp>
          <xdr:sp macro="" textlink="">
            <xdr:nvSpPr>
              <xdr:cNvPr id="13" name="Rectangle 12">
                <a:extLst>
                  <a:ext uri="{FF2B5EF4-FFF2-40B4-BE49-F238E27FC236}">
                    <a16:creationId xmlns:a16="http://schemas.microsoft.com/office/drawing/2014/main" id="{749B1940-F8B3-CEC9-FAE6-84BD1E7020FD}"/>
                  </a:ext>
                </a:extLst>
              </xdr:cNvPr>
              <xdr:cNvSpPr/>
            </xdr:nvSpPr>
            <xdr:spPr>
              <a:xfrm>
                <a:off x="6773363" y="795202"/>
                <a:ext cx="1874520" cy="7010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nvGrpSpPr>
              <xdr:cNvPr id="12" name="Group 11">
                <a:extLst>
                  <a:ext uri="{FF2B5EF4-FFF2-40B4-BE49-F238E27FC236}">
                    <a16:creationId xmlns:a16="http://schemas.microsoft.com/office/drawing/2014/main" id="{4A7B7E52-EDBA-A8C2-C18D-158035075FB1}"/>
                  </a:ext>
                </a:extLst>
              </xdr:cNvPr>
              <xdr:cNvGrpSpPr/>
            </xdr:nvGrpSpPr>
            <xdr:grpSpPr>
              <a:xfrm>
                <a:off x="6773363" y="840544"/>
                <a:ext cx="1855470" cy="624401"/>
                <a:chOff x="6048103" y="798003"/>
                <a:chExt cx="1863634" cy="627481"/>
              </a:xfrm>
            </xdr:grpSpPr>
            <xdr:sp macro="" textlink="">
              <xdr:nvSpPr>
                <xdr:cNvPr id="14" name="TextBox 13">
                  <a:extLst>
                    <a:ext uri="{FF2B5EF4-FFF2-40B4-BE49-F238E27FC236}">
                      <a16:creationId xmlns:a16="http://schemas.microsoft.com/office/drawing/2014/main" id="{D8C93252-0846-B643-E6F5-ADAF248D186D}"/>
                    </a:ext>
                  </a:extLst>
                </xdr:cNvPr>
                <xdr:cNvSpPr txBox="1"/>
              </xdr:nvSpPr>
              <xdr:spPr>
                <a:xfrm>
                  <a:off x="6048103" y="1157968"/>
                  <a:ext cx="1863634" cy="267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0">
                      <a:solidFill>
                        <a:schemeClr val="tx1">
                          <a:lumMod val="65000"/>
                          <a:lumOff val="35000"/>
                        </a:schemeClr>
                      </a:solidFill>
                      <a:latin typeface="+mj-lt"/>
                      <a:cs typeface="Arial" panose="020B0604020202020204" pitchFamily="34" charset="0"/>
                    </a:rPr>
                    <a:t>Average Attendance (%)</a:t>
                  </a:r>
                </a:p>
              </xdr:txBody>
            </xdr:sp>
            <xdr:sp macro="" textlink="KPIAvgAttendance!A4">
              <xdr:nvSpPr>
                <xdr:cNvPr id="15" name="TextBox 14">
                  <a:extLst>
                    <a:ext uri="{FF2B5EF4-FFF2-40B4-BE49-F238E27FC236}">
                      <a16:creationId xmlns:a16="http://schemas.microsoft.com/office/drawing/2014/main" id="{E6DBD085-5ECF-358F-6E31-3D9D8A4D94EB}"/>
                    </a:ext>
                  </a:extLst>
                </xdr:cNvPr>
                <xdr:cNvSpPr txBox="1"/>
              </xdr:nvSpPr>
              <xdr:spPr>
                <a:xfrm>
                  <a:off x="6546124" y="798003"/>
                  <a:ext cx="954133" cy="42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BDFAD-292B-47BC-8EAF-6660348BAB4F}" type="TxLink">
                    <a:rPr lang="en-US" sz="2800" b="1" i="0" u="none" strike="noStrike">
                      <a:solidFill>
                        <a:srgbClr val="000000"/>
                      </a:solidFill>
                      <a:latin typeface="+mj-lt"/>
                      <a:cs typeface="Calibri"/>
                    </a:rPr>
                    <a:pPr/>
                    <a:t>84.85</a:t>
                  </a:fld>
                  <a:endParaRPr lang="en-CA" sz="2800" b="1">
                    <a:latin typeface="+mj-lt"/>
                  </a:endParaRPr>
                </a:p>
              </xdr:txBody>
            </xdr:sp>
          </xdr:grpSp>
          <xdr:sp macro="" textlink="">
            <xdr:nvSpPr>
              <xdr:cNvPr id="17" name="Rectangle 16">
                <a:extLst>
                  <a:ext uri="{FF2B5EF4-FFF2-40B4-BE49-F238E27FC236}">
                    <a16:creationId xmlns:a16="http://schemas.microsoft.com/office/drawing/2014/main" id="{E06073C8-2B7F-4D32-8BCF-896B423EE47B}"/>
                  </a:ext>
                </a:extLst>
              </xdr:cNvPr>
              <xdr:cNvSpPr/>
            </xdr:nvSpPr>
            <xdr:spPr>
              <a:xfrm>
                <a:off x="8991600" y="795202"/>
                <a:ext cx="1874520" cy="7010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nvGrpSpPr>
              <xdr:cNvPr id="16" name="Group 15">
                <a:extLst>
                  <a:ext uri="{FF2B5EF4-FFF2-40B4-BE49-F238E27FC236}">
                    <a16:creationId xmlns:a16="http://schemas.microsoft.com/office/drawing/2014/main" id="{7824E3D1-A269-75CC-96DF-D1C05BB4B6F0}"/>
                  </a:ext>
                </a:extLst>
              </xdr:cNvPr>
              <xdr:cNvGrpSpPr/>
            </xdr:nvGrpSpPr>
            <xdr:grpSpPr>
              <a:xfrm>
                <a:off x="8953499" y="834258"/>
                <a:ext cx="1971675" cy="630687"/>
                <a:chOff x="8236403" y="791686"/>
                <a:chExt cx="1979839" cy="633798"/>
              </a:xfrm>
            </xdr:grpSpPr>
            <xdr:sp macro="" textlink="">
              <xdr:nvSpPr>
                <xdr:cNvPr id="18" name="TextBox 17">
                  <a:extLst>
                    <a:ext uri="{FF2B5EF4-FFF2-40B4-BE49-F238E27FC236}">
                      <a16:creationId xmlns:a16="http://schemas.microsoft.com/office/drawing/2014/main" id="{B5DB93CD-21BF-CAEC-7502-F0AF208EE81D}"/>
                    </a:ext>
                  </a:extLst>
                </xdr:cNvPr>
                <xdr:cNvSpPr txBox="1"/>
              </xdr:nvSpPr>
              <xdr:spPr>
                <a:xfrm>
                  <a:off x="8236403" y="1157968"/>
                  <a:ext cx="1979839" cy="267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0">
                      <a:solidFill>
                        <a:schemeClr val="tx1">
                          <a:lumMod val="65000"/>
                          <a:lumOff val="35000"/>
                        </a:schemeClr>
                      </a:solidFill>
                      <a:latin typeface="+mj-lt"/>
                      <a:cs typeface="Arial" panose="020B0604020202020204" pitchFamily="34" charset="0"/>
                    </a:rPr>
                    <a:t>Avg Performance Rating</a:t>
                  </a:r>
                </a:p>
              </xdr:txBody>
            </xdr:sp>
            <xdr:sp macro="" textlink="KPIAvgPerformance!A4">
              <xdr:nvSpPr>
                <xdr:cNvPr id="19" name="TextBox 18">
                  <a:extLst>
                    <a:ext uri="{FF2B5EF4-FFF2-40B4-BE49-F238E27FC236}">
                      <a16:creationId xmlns:a16="http://schemas.microsoft.com/office/drawing/2014/main" id="{9AF842E1-D198-6967-CA3C-1D9D2CF3BCC4}"/>
                    </a:ext>
                  </a:extLst>
                </xdr:cNvPr>
                <xdr:cNvSpPr txBox="1"/>
              </xdr:nvSpPr>
              <xdr:spPr>
                <a:xfrm>
                  <a:off x="8876426" y="791686"/>
                  <a:ext cx="823776" cy="42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387ABA-A3E0-4B95-BD8C-C9FA8FD0DAD8}" type="TxLink">
                    <a:rPr lang="en-US" sz="2800" b="1" i="0" u="none" strike="noStrike">
                      <a:solidFill>
                        <a:srgbClr val="000000"/>
                      </a:solidFill>
                      <a:latin typeface="+mj-lt"/>
                      <a:cs typeface="Calibri"/>
                    </a:rPr>
                    <a:pPr/>
                    <a:t>2.93</a:t>
                  </a:fld>
                  <a:endParaRPr lang="en-CA" sz="2800" b="1">
                    <a:latin typeface="+mj-lt"/>
                  </a:endParaRPr>
                </a:p>
              </xdr:txBody>
            </xdr:sp>
          </xdr:grpSp>
          <xdr:grpSp>
            <xdr:nvGrpSpPr>
              <xdr:cNvPr id="20" name="Group 19">
                <a:extLst>
                  <a:ext uri="{FF2B5EF4-FFF2-40B4-BE49-F238E27FC236}">
                    <a16:creationId xmlns:a16="http://schemas.microsoft.com/office/drawing/2014/main" id="{772EA2B9-62D2-5DFF-A55F-D096EF1497A5}"/>
                  </a:ext>
                </a:extLst>
              </xdr:cNvPr>
              <xdr:cNvGrpSpPr/>
            </xdr:nvGrpSpPr>
            <xdr:grpSpPr>
              <a:xfrm>
                <a:off x="11207114" y="795202"/>
                <a:ext cx="1874521" cy="701040"/>
                <a:chOff x="10500904" y="752475"/>
                <a:chExt cx="1882685" cy="704306"/>
              </a:xfrm>
            </xdr:grpSpPr>
            <xdr:sp macro="" textlink="">
              <xdr:nvSpPr>
                <xdr:cNvPr id="21" name="Rectangle 20">
                  <a:extLst>
                    <a:ext uri="{FF2B5EF4-FFF2-40B4-BE49-F238E27FC236}">
                      <a16:creationId xmlns:a16="http://schemas.microsoft.com/office/drawing/2014/main" id="{FCBECCF7-8FCF-13EC-CFB0-F8925D95E821}"/>
                    </a:ext>
                  </a:extLst>
                </xdr:cNvPr>
                <xdr:cNvSpPr/>
              </xdr:nvSpPr>
              <xdr:spPr>
                <a:xfrm>
                  <a:off x="10500904" y="752475"/>
                  <a:ext cx="1882685" cy="70430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22" name="TextBox 21">
                  <a:extLst>
                    <a:ext uri="{FF2B5EF4-FFF2-40B4-BE49-F238E27FC236}">
                      <a16:creationId xmlns:a16="http://schemas.microsoft.com/office/drawing/2014/main" id="{DB5E8ABF-D9E7-8727-EF97-BF8F33BB15A4}"/>
                    </a:ext>
                  </a:extLst>
                </xdr:cNvPr>
                <xdr:cNvSpPr txBox="1"/>
              </xdr:nvSpPr>
              <xdr:spPr>
                <a:xfrm>
                  <a:off x="10705516" y="1133805"/>
                  <a:ext cx="1518326" cy="267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200" b="0">
                      <a:solidFill>
                        <a:schemeClr val="tx1">
                          <a:lumMod val="65000"/>
                          <a:lumOff val="35000"/>
                        </a:schemeClr>
                      </a:solidFill>
                      <a:latin typeface="+mj-lt"/>
                      <a:cs typeface="Arial" panose="020B0604020202020204" pitchFamily="34" charset="0"/>
                    </a:rPr>
                    <a:t>Average Overtime Hours</a:t>
                  </a:r>
                </a:p>
              </xdr:txBody>
            </xdr:sp>
            <xdr:sp macro="" textlink="KPIAvgOvertime!A4">
              <xdr:nvSpPr>
                <xdr:cNvPr id="23" name="TextBox 22">
                  <a:extLst>
                    <a:ext uri="{FF2B5EF4-FFF2-40B4-BE49-F238E27FC236}">
                      <a16:creationId xmlns:a16="http://schemas.microsoft.com/office/drawing/2014/main" id="{BE505171-5821-8951-DF7F-E6C8401C1EC1}"/>
                    </a:ext>
                  </a:extLst>
                </xdr:cNvPr>
                <xdr:cNvSpPr txBox="1"/>
              </xdr:nvSpPr>
              <xdr:spPr>
                <a:xfrm>
                  <a:off x="10983987" y="790374"/>
                  <a:ext cx="942736" cy="42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906645-BFBB-4D0F-8E4C-0A19BCC3169E}" type="TxLink">
                    <a:rPr lang="en-US" sz="2800" b="1" i="0" u="none" strike="noStrike">
                      <a:solidFill>
                        <a:srgbClr val="000000"/>
                      </a:solidFill>
                      <a:latin typeface="+mj-lt"/>
                      <a:cs typeface="Calibri"/>
                    </a:rPr>
                    <a:pPr/>
                    <a:t>15.59</a:t>
                  </a:fld>
                  <a:endParaRPr lang="en-CA" sz="2800" b="1">
                    <a:latin typeface="+mj-lt"/>
                  </a:endParaRPr>
                </a:p>
              </xdr:txBody>
            </xdr:sp>
          </xdr:grpSp>
        </xdr:grpSp>
        <xdr:graphicFrame macro="">
          <xdr:nvGraphicFramePr>
            <xdr:cNvPr id="26" name="Chart 25">
              <a:extLst>
                <a:ext uri="{FF2B5EF4-FFF2-40B4-BE49-F238E27FC236}">
                  <a16:creationId xmlns:a16="http://schemas.microsoft.com/office/drawing/2014/main" id="{683DD31F-88AC-4A9B-9C39-017031FAD14D}"/>
                </a:ext>
              </a:extLst>
            </xdr:cNvPr>
            <xdr:cNvGraphicFramePr>
              <a:graphicFrameLocks/>
            </xdr:cNvGraphicFramePr>
          </xdr:nvGraphicFramePr>
          <xdr:xfrm>
            <a:off x="2297723" y="1950676"/>
            <a:ext cx="5246077" cy="281190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354AD92A-67EA-4505-AAF6-35ABB60032ED}"/>
                </a:ext>
              </a:extLst>
            </xdr:cNvPr>
            <xdr:cNvGraphicFramePr>
              <a:graphicFrameLocks/>
            </xdr:cNvGraphicFramePr>
          </xdr:nvGraphicFramePr>
          <xdr:xfrm>
            <a:off x="7748954" y="6628535"/>
            <a:ext cx="5669943" cy="142588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27E718A2-19B8-444B-BE65-B351BF8F8731}"/>
                </a:ext>
              </a:extLst>
            </xdr:cNvPr>
            <xdr:cNvGraphicFramePr>
              <a:graphicFrameLocks/>
            </xdr:cNvGraphicFramePr>
          </xdr:nvGraphicFramePr>
          <xdr:xfrm>
            <a:off x="7748954" y="3657947"/>
            <a:ext cx="5660705" cy="287404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ED9429F4-DA5D-DE9D-6C65-95EDFDCE9C93}"/>
                    </a:ext>
                  </a:extLst>
                </xdr:cNvPr>
                <xdr:cNvPicPr>
                  <a:picLocks noChangeAspect="1" noChangeArrowheads="1"/>
                  <a:extLst>
                    <a:ext uri="{84589F7E-364E-4C9E-8A38-B11213B215E9}">
                      <a14:cameraTool cellRange="HeatMap!$A$3:$D$8" spid="_x0000_s6273"/>
                    </a:ext>
                  </a:extLst>
                </xdr:cNvPicPr>
              </xdr:nvPicPr>
              <xdr:blipFill>
                <a:blip xmlns:r="http://schemas.openxmlformats.org/officeDocument/2006/relationships" r:embed="rId5"/>
                <a:srcRect/>
                <a:stretch>
                  <a:fillRect/>
                </a:stretch>
              </xdr:blipFill>
              <xdr:spPr bwMode="auto">
                <a:xfrm>
                  <a:off x="7725508" y="2011682"/>
                  <a:ext cx="5661061" cy="1570798"/>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graphicFrame macro="">
              <xdr:nvGraphicFramePr>
                <xdr:cNvPr id="42" name="Gender">
                  <a:extLst>
                    <a:ext uri="{FF2B5EF4-FFF2-40B4-BE49-F238E27FC236}">
                      <a16:creationId xmlns:a16="http://schemas.microsoft.com/office/drawing/2014/main" id="{12FBD339-45B3-1B9A-D577-4E15B02C2891}"/>
                    </a:ext>
                  </a:extLst>
                </xdr:cNvPr>
                <xdr:cNvGraphicFramePr/>
              </xdr:nvGraphicFramePr>
              <xdr:xfrm>
                <a:off x="225290" y="1982434"/>
                <a:ext cx="1833418" cy="1165013"/>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5290" y="1982434"/>
                  <a:ext cx="1833418" cy="11650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Age">
                  <a:extLst>
                    <a:ext uri="{FF2B5EF4-FFF2-40B4-BE49-F238E27FC236}">
                      <a16:creationId xmlns:a16="http://schemas.microsoft.com/office/drawing/2014/main" id="{E8E886D5-D0DB-0673-40E3-6E885347D254}"/>
                    </a:ext>
                  </a:extLst>
                </xdr:cNvPr>
                <xdr:cNvGraphicFramePr/>
              </xdr:nvGraphicFramePr>
              <xdr:xfrm>
                <a:off x="230743" y="6480311"/>
                <a:ext cx="1833418" cy="1581805"/>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30743" y="6480311"/>
                  <a:ext cx="1833418" cy="158180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Education_Level">
                  <a:extLst>
                    <a:ext uri="{FF2B5EF4-FFF2-40B4-BE49-F238E27FC236}">
                      <a16:creationId xmlns:a16="http://schemas.microsoft.com/office/drawing/2014/main" id="{D1C73FFD-2D2A-2DB4-69D1-060760555537}"/>
                    </a:ext>
                  </a:extLst>
                </xdr:cNvPr>
                <xdr:cNvGraphicFramePr/>
              </xdr:nvGraphicFramePr>
              <xdr:xfrm>
                <a:off x="228086" y="3241174"/>
                <a:ext cx="1833418" cy="1183115"/>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228086" y="3241174"/>
                  <a:ext cx="1833418" cy="118311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Promotion_Status">
                  <a:extLst>
                    <a:ext uri="{FF2B5EF4-FFF2-40B4-BE49-F238E27FC236}">
                      <a16:creationId xmlns:a16="http://schemas.microsoft.com/office/drawing/2014/main" id="{9597E683-0BF6-FEEE-E224-22408503DD7C}"/>
                    </a:ext>
                  </a:extLst>
                </xdr:cNvPr>
                <xdr:cNvGraphicFramePr/>
              </xdr:nvGraphicFramePr>
              <xdr:xfrm>
                <a:off x="223045" y="4498652"/>
                <a:ext cx="1833418" cy="904931"/>
              </xdr:xfrm>
              <a:graphic>
                <a:graphicData uri="http://schemas.microsoft.com/office/drawing/2010/slicer">
                  <sle:slicer xmlns:sle="http://schemas.microsoft.com/office/drawing/2010/slicer" name="Promotion_Status"/>
                </a:graphicData>
              </a:graphic>
            </xdr:graphicFrame>
          </mc:Choice>
          <mc:Fallback xmlns="">
            <xdr:sp macro="" textlink="">
              <xdr:nvSpPr>
                <xdr:cNvPr id="0" name=""/>
                <xdr:cNvSpPr>
                  <a:spLocks noTextEdit="1"/>
                </xdr:cNvSpPr>
              </xdr:nvSpPr>
              <xdr:spPr>
                <a:xfrm>
                  <a:off x="223045" y="4498652"/>
                  <a:ext cx="1833418" cy="90493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Attrition_Status">
                  <a:extLst>
                    <a:ext uri="{FF2B5EF4-FFF2-40B4-BE49-F238E27FC236}">
                      <a16:creationId xmlns:a16="http://schemas.microsoft.com/office/drawing/2014/main" id="{E0C705FA-C493-AAAD-F1A6-B4646CD99830}"/>
                    </a:ext>
                  </a:extLst>
                </xdr:cNvPr>
                <xdr:cNvGraphicFramePr/>
              </xdr:nvGraphicFramePr>
              <xdr:xfrm>
                <a:off x="228084" y="5498716"/>
                <a:ext cx="1833418" cy="905104"/>
              </xdr:xfrm>
              <a:graphic>
                <a:graphicData uri="http://schemas.microsoft.com/office/drawing/2010/slicer">
                  <sle:slicer xmlns:sle="http://schemas.microsoft.com/office/drawing/2010/slicer" name="Attrition_Status"/>
                </a:graphicData>
              </a:graphic>
            </xdr:graphicFrame>
          </mc:Choice>
          <mc:Fallback xmlns="">
            <xdr:sp macro="" textlink="">
              <xdr:nvSpPr>
                <xdr:cNvPr id="0" name=""/>
                <xdr:cNvSpPr>
                  <a:spLocks noTextEdit="1"/>
                </xdr:cNvSpPr>
              </xdr:nvSpPr>
              <xdr:spPr>
                <a:xfrm>
                  <a:off x="228084" y="5498716"/>
                  <a:ext cx="1833418" cy="90510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8" name="TextBox 47">
              <a:extLst>
                <a:ext uri="{FF2B5EF4-FFF2-40B4-BE49-F238E27FC236}">
                  <a16:creationId xmlns:a16="http://schemas.microsoft.com/office/drawing/2014/main" id="{BF68EE13-6797-5AEB-69CF-ABCD05BD1418}"/>
                </a:ext>
              </a:extLst>
            </xdr:cNvPr>
            <xdr:cNvSpPr txBox="1"/>
          </xdr:nvSpPr>
          <xdr:spPr>
            <a:xfrm>
              <a:off x="130848" y="107758"/>
              <a:ext cx="13224934" cy="579427"/>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2800" b="1">
                  <a:solidFill>
                    <a:schemeClr val="bg1"/>
                  </a:solidFill>
                  <a:latin typeface="+mj-lt"/>
                </a:rPr>
                <a:t>HR Analytics</a:t>
              </a:r>
              <a:r>
                <a:rPr lang="en-CA" sz="2800" b="1" baseline="0">
                  <a:solidFill>
                    <a:schemeClr val="bg1"/>
                  </a:solidFill>
                  <a:latin typeface="+mj-lt"/>
                </a:rPr>
                <a:t> Dashboard</a:t>
              </a:r>
              <a:endParaRPr lang="en-CA" sz="2800" b="1">
                <a:solidFill>
                  <a:schemeClr val="bg1"/>
                </a:solidFill>
                <a:latin typeface="+mj-lt"/>
              </a:endParaRPr>
            </a:p>
          </xdr:txBody>
        </xdr:sp>
      </xdr:grpSp>
    </xdr:grpSp>
    <xdr:clientData/>
  </xdr:twoCellAnchor>
</xdr:wsDr>
</file>

<file path=xl/drawings/drawing2.xml><?xml version="1.0" encoding="utf-8"?>
<c:userShapes xmlns:c="http://schemas.openxmlformats.org/drawingml/2006/chart">
  <cdr:relSizeAnchor xmlns:cdr="http://schemas.openxmlformats.org/drawingml/2006/chartDrawing">
    <cdr:from>
      <cdr:x>0.04062</cdr:x>
      <cdr:y>0.2734</cdr:y>
    </cdr:from>
    <cdr:to>
      <cdr:x>0.30952</cdr:x>
      <cdr:y>0.72218</cdr:y>
    </cdr:to>
    <cdr:sp macro="" textlink="">
      <cdr:nvSpPr>
        <cdr:cNvPr id="2" name="TextBox 1">
          <a:extLst xmlns:a="http://schemas.openxmlformats.org/drawingml/2006/main">
            <a:ext uri="{FF2B5EF4-FFF2-40B4-BE49-F238E27FC236}">
              <a16:creationId xmlns:a16="http://schemas.microsoft.com/office/drawing/2014/main" id="{49A017E9-599B-653D-90E1-86522320B5F7}"/>
            </a:ext>
          </a:extLst>
        </cdr:cNvPr>
        <cdr:cNvSpPr txBox="1"/>
      </cdr:nvSpPr>
      <cdr:spPr>
        <a:xfrm xmlns:a="http://schemas.openxmlformats.org/drawingml/2006/main">
          <a:off x="223212" y="393874"/>
          <a:ext cx="1477818" cy="646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CA" sz="1600" b="1" kern="1200">
              <a:latin typeface="+mj-lt"/>
            </a:rPr>
            <a:t>Gender</a:t>
          </a:r>
        </a:p>
        <a:p xmlns:a="http://schemas.openxmlformats.org/drawingml/2006/main">
          <a:pPr algn="ctr"/>
          <a:r>
            <a:rPr lang="en-CA" sz="1600" b="1" kern="1200">
              <a:latin typeface="+mj-lt"/>
            </a:rPr>
            <a:t>Distribution</a:t>
          </a: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518160</xdr:colOff>
      <xdr:row>2</xdr:row>
      <xdr:rowOff>76200</xdr:rowOff>
    </xdr:from>
    <xdr:to>
      <xdr:col>11</xdr:col>
      <xdr:colOff>403860</xdr:colOff>
      <xdr:row>18</xdr:row>
      <xdr:rowOff>167640</xdr:rowOff>
    </xdr:to>
    <xdr:graphicFrame macro="">
      <xdr:nvGraphicFramePr>
        <xdr:cNvPr id="2" name="Employee Count">
          <a:extLst>
            <a:ext uri="{FF2B5EF4-FFF2-40B4-BE49-F238E27FC236}">
              <a16:creationId xmlns:a16="http://schemas.microsoft.com/office/drawing/2014/main" id="{D90304B4-25C8-17B9-CB1C-BBC79D92C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350520</xdr:colOff>
      <xdr:row>1</xdr:row>
      <xdr:rowOff>34290</xdr:rowOff>
    </xdr:from>
    <xdr:to>
      <xdr:col>12</xdr:col>
      <xdr:colOff>411480</xdr:colOff>
      <xdr:row>20</xdr:row>
      <xdr:rowOff>60960</xdr:rowOff>
    </xdr:to>
    <xdr:graphicFrame macro="">
      <xdr:nvGraphicFramePr>
        <xdr:cNvPr id="2" name="Avg attendance">
          <a:extLst>
            <a:ext uri="{FF2B5EF4-FFF2-40B4-BE49-F238E27FC236}">
              <a16:creationId xmlns:a16="http://schemas.microsoft.com/office/drawing/2014/main" id="{AD36EA8C-B984-E93C-3855-53BF2ED84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906780</xdr:colOff>
      <xdr:row>2</xdr:row>
      <xdr:rowOff>64770</xdr:rowOff>
    </xdr:from>
    <xdr:to>
      <xdr:col>11</xdr:col>
      <xdr:colOff>30480</xdr:colOff>
      <xdr:row>20</xdr:row>
      <xdr:rowOff>99060</xdr:rowOff>
    </xdr:to>
    <xdr:graphicFrame macro="">
      <xdr:nvGraphicFramePr>
        <xdr:cNvPr id="2" name="Area Chart">
          <a:extLst>
            <a:ext uri="{FF2B5EF4-FFF2-40B4-BE49-F238E27FC236}">
              <a16:creationId xmlns:a16="http://schemas.microsoft.com/office/drawing/2014/main" id="{18BA1FFF-8E91-1166-933C-24B0FA02D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0.41925</cdr:x>
      <cdr:y>0.36254</cdr:y>
    </cdr:from>
    <cdr:to>
      <cdr:x>0.58075</cdr:x>
      <cdr:y>0.63746</cdr:y>
    </cdr:to>
    <cdr:sp macro="" textlink="">
      <cdr:nvSpPr>
        <cdr:cNvPr id="2" name="TextBox 1">
          <a:extLst xmlns:a="http://schemas.openxmlformats.org/drawingml/2006/main">
            <a:ext uri="{FF2B5EF4-FFF2-40B4-BE49-F238E27FC236}">
              <a16:creationId xmlns:a16="http://schemas.microsoft.com/office/drawing/2014/main" id="{E356721E-66E6-8521-1382-44FAA33EE7D5}"/>
            </a:ext>
          </a:extLst>
        </cdr:cNvPr>
        <cdr:cNvSpPr txBox="1"/>
      </cdr:nvSpPr>
      <cdr:spPr>
        <a:xfrm xmlns:a="http://schemas.openxmlformats.org/drawingml/2006/main">
          <a:off x="2373630" y="120586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CA" sz="1100" kern="1200"/>
        </a:p>
      </cdr:txBody>
    </cdr:sp>
  </cdr:relSizeAnchor>
  <cdr:relSizeAnchor xmlns:cdr="http://schemas.openxmlformats.org/drawingml/2006/chartDrawing">
    <cdr:from>
      <cdr:x>0.12382</cdr:x>
      <cdr:y>0.15235</cdr:y>
    </cdr:from>
    <cdr:to>
      <cdr:x>0.23284</cdr:x>
      <cdr:y>0.22795</cdr:y>
    </cdr:to>
    <cdr:sp macro="" textlink="">
      <cdr:nvSpPr>
        <cdr:cNvPr id="3" name="TextBox 2">
          <a:extLst xmlns:a="http://schemas.openxmlformats.org/drawingml/2006/main">
            <a:ext uri="{FF2B5EF4-FFF2-40B4-BE49-F238E27FC236}">
              <a16:creationId xmlns:a16="http://schemas.microsoft.com/office/drawing/2014/main" id="{DBECC03A-B7C1-CEEA-C5FC-FAF3245D1E22}"/>
            </a:ext>
          </a:extLst>
        </cdr:cNvPr>
        <cdr:cNvSpPr txBox="1"/>
      </cdr:nvSpPr>
      <cdr:spPr>
        <a:xfrm xmlns:a="http://schemas.openxmlformats.org/drawingml/2006/main">
          <a:off x="701040" y="506730"/>
          <a:ext cx="61722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CA" sz="1100" kern="1200"/>
            <a:t>84.18%</a:t>
          </a:r>
        </a:p>
      </cdr:txBody>
    </cdr:sp>
  </cdr:relSizeAnchor>
  <cdr:relSizeAnchor xmlns:cdr="http://schemas.openxmlformats.org/drawingml/2006/chartDrawing">
    <cdr:from>
      <cdr:x>0.22028</cdr:x>
      <cdr:y>0.3131</cdr:y>
    </cdr:from>
    <cdr:to>
      <cdr:x>0.3293</cdr:x>
      <cdr:y>0.3887</cdr:y>
    </cdr:to>
    <cdr:sp macro="" textlink="">
      <cdr:nvSpPr>
        <cdr:cNvPr id="4" name="TextBox 1">
          <a:extLst xmlns:a="http://schemas.openxmlformats.org/drawingml/2006/main">
            <a:ext uri="{FF2B5EF4-FFF2-40B4-BE49-F238E27FC236}">
              <a16:creationId xmlns:a16="http://schemas.microsoft.com/office/drawing/2014/main" id="{7D898EEA-8254-F3C7-A26B-96CE3499980D}"/>
            </a:ext>
          </a:extLst>
        </cdr:cNvPr>
        <cdr:cNvSpPr txBox="1"/>
      </cdr:nvSpPr>
      <cdr:spPr>
        <a:xfrm xmlns:a="http://schemas.openxmlformats.org/drawingml/2006/main">
          <a:off x="1247140" y="1041400"/>
          <a:ext cx="617220" cy="2514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kern="1200"/>
            <a:t>86.80%</a:t>
          </a:r>
        </a:p>
      </cdr:txBody>
    </cdr:sp>
  </cdr:relSizeAnchor>
  <cdr:relSizeAnchor xmlns:cdr="http://schemas.openxmlformats.org/drawingml/2006/chartDrawing">
    <cdr:from>
      <cdr:x>0.3616</cdr:x>
      <cdr:y>0.13898</cdr:y>
    </cdr:from>
    <cdr:to>
      <cdr:x>0.47061</cdr:x>
      <cdr:y>0.21459</cdr:y>
    </cdr:to>
    <cdr:sp macro="" textlink="">
      <cdr:nvSpPr>
        <cdr:cNvPr id="5" name="TextBox 1">
          <a:extLst xmlns:a="http://schemas.openxmlformats.org/drawingml/2006/main">
            <a:ext uri="{FF2B5EF4-FFF2-40B4-BE49-F238E27FC236}">
              <a16:creationId xmlns:a16="http://schemas.microsoft.com/office/drawing/2014/main" id="{7D898EEA-8254-F3C7-A26B-96CE3499980D}"/>
            </a:ext>
          </a:extLst>
        </cdr:cNvPr>
        <cdr:cNvSpPr txBox="1"/>
      </cdr:nvSpPr>
      <cdr:spPr>
        <a:xfrm xmlns:a="http://schemas.openxmlformats.org/drawingml/2006/main">
          <a:off x="2047240" y="462280"/>
          <a:ext cx="617220" cy="2514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kern="1200"/>
            <a:t>83.63%</a:t>
          </a:r>
        </a:p>
      </cdr:txBody>
    </cdr:sp>
  </cdr:relSizeAnchor>
  <cdr:relSizeAnchor xmlns:cdr="http://schemas.openxmlformats.org/drawingml/2006/chartDrawing">
    <cdr:from>
      <cdr:x>0.49753</cdr:x>
      <cdr:y>0.45284</cdr:y>
    </cdr:from>
    <cdr:to>
      <cdr:x>0.60655</cdr:x>
      <cdr:y>0.52845</cdr:y>
    </cdr:to>
    <cdr:sp macro="" textlink="">
      <cdr:nvSpPr>
        <cdr:cNvPr id="6" name="TextBox 1">
          <a:extLst xmlns:a="http://schemas.openxmlformats.org/drawingml/2006/main">
            <a:ext uri="{FF2B5EF4-FFF2-40B4-BE49-F238E27FC236}">
              <a16:creationId xmlns:a16="http://schemas.microsoft.com/office/drawing/2014/main" id="{7D898EEA-8254-F3C7-A26B-96CE3499980D}"/>
            </a:ext>
          </a:extLst>
        </cdr:cNvPr>
        <cdr:cNvSpPr txBox="1"/>
      </cdr:nvSpPr>
      <cdr:spPr>
        <a:xfrm xmlns:a="http://schemas.openxmlformats.org/drawingml/2006/main">
          <a:off x="2816860" y="1506220"/>
          <a:ext cx="617220" cy="2514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kern="1200"/>
            <a:t>80.82%</a:t>
          </a:r>
        </a:p>
      </cdr:txBody>
    </cdr:sp>
  </cdr:relSizeAnchor>
  <cdr:relSizeAnchor xmlns:cdr="http://schemas.openxmlformats.org/drawingml/2006/chartDrawing">
    <cdr:from>
      <cdr:x>0.61193</cdr:x>
      <cdr:y>0.44826</cdr:y>
    </cdr:from>
    <cdr:to>
      <cdr:x>0.72095</cdr:x>
      <cdr:y>0.52386</cdr:y>
    </cdr:to>
    <cdr:sp macro="" textlink="">
      <cdr:nvSpPr>
        <cdr:cNvPr id="7" name="TextBox 1">
          <a:extLst xmlns:a="http://schemas.openxmlformats.org/drawingml/2006/main">
            <a:ext uri="{FF2B5EF4-FFF2-40B4-BE49-F238E27FC236}">
              <a16:creationId xmlns:a16="http://schemas.microsoft.com/office/drawing/2014/main" id="{7D898EEA-8254-F3C7-A26B-96CE3499980D}"/>
            </a:ext>
          </a:extLst>
        </cdr:cNvPr>
        <cdr:cNvSpPr txBox="1"/>
      </cdr:nvSpPr>
      <cdr:spPr>
        <a:xfrm xmlns:a="http://schemas.openxmlformats.org/drawingml/2006/main">
          <a:off x="3464560" y="1490980"/>
          <a:ext cx="617220" cy="2514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kern="1200"/>
            <a:t>89.07%</a:t>
          </a:r>
        </a:p>
      </cdr:txBody>
    </cdr:sp>
  </cdr:relSizeAnchor>
</c:userShapes>
</file>

<file path=xl/drawings/drawing7.xml><?xml version="1.0" encoding="utf-8"?>
<xdr:wsDr xmlns:xdr="http://schemas.openxmlformats.org/drawingml/2006/spreadsheetDrawing" xmlns:a="http://schemas.openxmlformats.org/drawingml/2006/main">
  <xdr:twoCellAnchor>
    <xdr:from>
      <xdr:col>4</xdr:col>
      <xdr:colOff>487680</xdr:colOff>
      <xdr:row>6</xdr:row>
      <xdr:rowOff>80010</xdr:rowOff>
    </xdr:from>
    <xdr:to>
      <xdr:col>12</xdr:col>
      <xdr:colOff>53340</xdr:colOff>
      <xdr:row>21</xdr:row>
      <xdr:rowOff>80010</xdr:rowOff>
    </xdr:to>
    <xdr:graphicFrame macro="">
      <xdr:nvGraphicFramePr>
        <xdr:cNvPr id="4" name="Gender">
          <a:extLst>
            <a:ext uri="{FF2B5EF4-FFF2-40B4-BE49-F238E27FC236}">
              <a16:creationId xmlns:a16="http://schemas.microsoft.com/office/drawing/2014/main" id="{B48727EE-DC59-F927-5671-82A9BB598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114300</xdr:colOff>
      <xdr:row>5</xdr:row>
      <xdr:rowOff>64770</xdr:rowOff>
    </xdr:from>
    <xdr:to>
      <xdr:col>12</xdr:col>
      <xdr:colOff>419100</xdr:colOff>
      <xdr:row>20</xdr:row>
      <xdr:rowOff>64770</xdr:rowOff>
    </xdr:to>
    <xdr:graphicFrame macro="">
      <xdr:nvGraphicFramePr>
        <xdr:cNvPr id="4" name="Chart 3">
          <a:extLst>
            <a:ext uri="{FF2B5EF4-FFF2-40B4-BE49-F238E27FC236}">
              <a16:creationId xmlns:a16="http://schemas.microsoft.com/office/drawing/2014/main" id="{832447FE-93AE-1071-74B9-E9B4EA356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434340</xdr:colOff>
      <xdr:row>2</xdr:row>
      <xdr:rowOff>57150</xdr:rowOff>
    </xdr:from>
    <xdr:to>
      <xdr:col>13</xdr:col>
      <xdr:colOff>15240</xdr:colOff>
      <xdr:row>20</xdr:row>
      <xdr:rowOff>53340</xdr:rowOff>
    </xdr:to>
    <xdr:graphicFrame macro="">
      <xdr:nvGraphicFramePr>
        <xdr:cNvPr id="3" name="Chart 2">
          <a:extLst>
            <a:ext uri="{FF2B5EF4-FFF2-40B4-BE49-F238E27FC236}">
              <a16:creationId xmlns:a16="http://schemas.microsoft.com/office/drawing/2014/main" id="{61888E56-FEEC-D2B7-F520-51BD2657B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358140</xdr:colOff>
      <xdr:row>2</xdr:row>
      <xdr:rowOff>41910</xdr:rowOff>
    </xdr:from>
    <xdr:to>
      <xdr:col>13</xdr:col>
      <xdr:colOff>53340</xdr:colOff>
      <xdr:row>17</xdr:row>
      <xdr:rowOff>41910</xdr:rowOff>
    </xdr:to>
    <xdr:graphicFrame macro="">
      <xdr:nvGraphicFramePr>
        <xdr:cNvPr id="2" name="Chart 1">
          <a:extLst>
            <a:ext uri="{FF2B5EF4-FFF2-40B4-BE49-F238E27FC236}">
              <a16:creationId xmlns:a16="http://schemas.microsoft.com/office/drawing/2014/main" id="{2732D8FA-D04C-D517-8F3B-F19125DAA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bhi" refreshedDate="45957.645619212963" createdVersion="8" refreshedVersion="8" minRefreshableVersion="3" recordCount="100" xr:uid="{9386343F-35FE-48E4-BF40-74DC94F72699}">
  <cacheSource type="worksheet">
    <worksheetSource ref="A1:R101" sheet="Main Table"/>
  </cacheSource>
  <cacheFields count="18">
    <cacheField name="Employee_ID" numFmtId="0">
      <sharedItems/>
    </cacheField>
    <cacheField name="Name" numFmtId="0">
      <sharedItems count="99">
        <s v="Omar Archer"/>
        <s v="Anthony West"/>
        <s v="Justin Adams"/>
        <s v="Brandon Michael"/>
        <s v="Calvin Valdez"/>
        <s v="Teresa Espinoza"/>
        <s v="Sabrina Ward"/>
        <s v="Jaclyn Summers"/>
        <s v="Sharon Thomas"/>
        <s v="Brian Martin"/>
        <s v="Jeff Hawkins"/>
        <s v="Brianna Robinson"/>
        <s v="Brian Jensen"/>
        <s v="Christopher Wood"/>
        <s v="Paul Fleming"/>
        <s v="Joel Mendoza IV"/>
        <s v="Matthew Butler"/>
        <s v="Ann Stephens"/>
        <s v="Melissa Beltran"/>
        <s v="Brenda Richardson"/>
        <s v="Harold Burnett"/>
        <s v="Teresa Watts"/>
        <s v="Joseph Bell MD"/>
        <s v="Vanessa Colon"/>
        <s v="Daniel Evans"/>
        <s v="Kathryn Johnson"/>
        <s v="Katie Ross"/>
        <s v="Paul Diaz"/>
        <s v="Ellen Gross"/>
        <s v="Emily Jones"/>
        <s v="Glenn Smith"/>
        <s v="Laura Lin"/>
        <s v="Mary Mendez"/>
        <s v="Jason Smith"/>
        <s v="Hannah Williams"/>
        <s v="Justin Wilkinson"/>
        <s v="Brian Anderson"/>
        <s v="Kathleen Morgan"/>
        <s v="Kimberly Houston"/>
        <s v="Patricia Williams"/>
        <s v="Samantha Ayala"/>
        <s v="Monica Reilly"/>
        <s v="Seth Gray"/>
        <s v="Maria Stone"/>
        <s v="Marcus Johnson"/>
        <s v="Angela Mata"/>
        <s v="Briana Phillips"/>
        <s v="Adam Duffy"/>
        <s v="Veronica Lee"/>
        <s v="Darius Marshall"/>
        <s v="Jessica Frank"/>
        <s v="Derek Herrera"/>
        <s v="Andrea Hensley"/>
        <s v="Michael Wilson"/>
        <s v="Andrea Knight"/>
        <s v="Lisa Robertson"/>
        <s v="Jeremy Clark"/>
        <s v="Patrick Todd"/>
        <s v="Lisa Griffin"/>
        <s v="Robert Andrews"/>
        <s v="Randy Douglas"/>
        <s v="Elizabeth Jordan"/>
        <s v="Gloria Stone"/>
        <s v="Breanna Jackson"/>
        <s v="Mary Elliott"/>
        <s v="Christopher Smith"/>
        <s v="Margaret Davis"/>
        <s v="Jason Cervantes"/>
        <s v="Joanna Davis MD"/>
        <s v="Charles Clark"/>
        <s v="Adrian Mcbride"/>
        <s v="George Green"/>
        <s v="Emily Walker"/>
        <s v="Anthony Poole"/>
        <s v="Christopher Williams"/>
        <s v="Erica Alexander"/>
        <s v="Briana Bennett"/>
        <s v="Sandra Perry"/>
        <s v="Penny Marshall"/>
        <s v="Jamie Mitchell DDS"/>
        <s v="Russell Miller"/>
        <s v="Mrs. Traci Buchanan"/>
        <s v="Rachel Greene"/>
        <s v="Curtis Bryant"/>
        <s v="Alan Collins"/>
        <s v="Whitney Barnes"/>
        <s v="Christopher Lewis"/>
        <s v="Walter Jordan"/>
        <s v="Thomas Serrano"/>
        <s v="Bryce Fitzgerald"/>
        <s v="Erika Bailey"/>
        <s v="Brett Hart"/>
        <s v="Alex Knox"/>
        <s v="Vanessa Ramirez"/>
        <s v="Seth Martin"/>
        <s v="Suzanne Arroyo"/>
        <s v="Dustin Peck"/>
        <s v="Joseph Stevens"/>
        <s v="Casey Mcclain"/>
      </sharedItems>
    </cacheField>
    <cacheField name="Department" numFmtId="0">
      <sharedItems count="5">
        <s v="HR"/>
        <s v="Sales"/>
        <s v="Marketing"/>
        <s v="Finance"/>
        <s v="IT"/>
      </sharedItems>
    </cacheField>
    <cacheField name="Gender" numFmtId="0">
      <sharedItems count="3">
        <s v="Male"/>
        <s v="Female"/>
        <s v="Other"/>
      </sharedItems>
    </cacheField>
    <cacheField name="Age" numFmtId="0">
      <sharedItems containsSemiMixedTypes="0" containsString="0" containsNumber="1" containsInteger="1" minValue="22" maxValue="55" count="30">
        <n v="32"/>
        <n v="26"/>
        <n v="54"/>
        <n v="44"/>
        <n v="40"/>
        <n v="30"/>
        <n v="51"/>
        <n v="43"/>
        <n v="27"/>
        <n v="41"/>
        <n v="46"/>
        <n v="28"/>
        <n v="53"/>
        <n v="47"/>
        <n v="25"/>
        <n v="55"/>
        <n v="39"/>
        <n v="22"/>
        <n v="45"/>
        <n v="24"/>
        <n v="37"/>
        <n v="33"/>
        <n v="50"/>
        <n v="29"/>
        <n v="52"/>
        <n v="48"/>
        <n v="31"/>
        <n v="23"/>
        <n v="42"/>
        <n v="36"/>
      </sharedItems>
    </cacheField>
    <cacheField name="Education_Level" numFmtId="0">
      <sharedItems count="3">
        <s v="Master"/>
        <s v="Diploma"/>
        <s v="Bachelor"/>
      </sharedItems>
    </cacheField>
    <cacheField name="Joining_Date" numFmtId="164">
      <sharedItems containsSemiMixedTypes="0" containsNonDate="0" containsDate="1" containsString="0" minDate="2015-10-31T00:00:00" maxDate="2024-10-16T00:00:00"/>
    </cacheField>
    <cacheField name="Monthly_Salary" numFmtId="165">
      <sharedItems containsSemiMixedTypes="0" containsString="0" containsNumber="1" containsInteger="1" minValue="32562" maxValue="117424" count="100">
        <n v="32562"/>
        <n v="58853"/>
        <n v="72502"/>
        <n v="44231"/>
        <n v="93431"/>
        <n v="113349"/>
        <n v="66358"/>
        <n v="102826"/>
        <n v="81179"/>
        <n v="110860"/>
        <n v="96608"/>
        <n v="110479"/>
        <n v="34991"/>
        <n v="67038"/>
        <n v="63815"/>
        <n v="37509"/>
        <n v="59762"/>
        <n v="65228"/>
        <n v="106173"/>
        <n v="74350"/>
        <n v="60630"/>
        <n v="53392"/>
        <n v="97588"/>
        <n v="92426"/>
        <n v="83432"/>
        <n v="81985"/>
        <n v="111185"/>
        <n v="87004"/>
        <n v="54538"/>
        <n v="55522"/>
        <n v="39908"/>
        <n v="100795"/>
        <n v="84433"/>
        <n v="79936"/>
        <n v="66849"/>
        <n v="97399"/>
        <n v="98476"/>
        <n v="111843"/>
        <n v="71087"/>
        <n v="109627"/>
        <n v="69568"/>
        <n v="39532"/>
        <n v="38434"/>
        <n v="102650"/>
        <n v="53787"/>
        <n v="99581"/>
        <n v="78463"/>
        <n v="88656"/>
        <n v="99648"/>
        <n v="32798"/>
        <n v="89861"/>
        <n v="37607"/>
        <n v="115558"/>
        <n v="67139"/>
        <n v="38926"/>
        <n v="37031"/>
        <n v="94586"/>
        <n v="79954"/>
        <n v="57160"/>
        <n v="70383"/>
        <n v="113952"/>
        <n v="74706"/>
        <n v="75188"/>
        <n v="53495"/>
        <n v="98807"/>
        <n v="46205"/>
        <n v="104525"/>
        <n v="57399"/>
        <n v="61089"/>
        <n v="63920"/>
        <n v="57860"/>
        <n v="57924"/>
        <n v="85298"/>
        <n v="74721"/>
        <n v="80672"/>
        <n v="69876"/>
        <n v="89120"/>
        <n v="39720"/>
        <n v="47868"/>
        <n v="96839"/>
        <n v="88893"/>
        <n v="90992"/>
        <n v="49090"/>
        <n v="117424"/>
        <n v="83197"/>
        <n v="64027"/>
        <n v="43471"/>
        <n v="97569"/>
        <n v="92122"/>
        <n v="44966"/>
        <n v="108567"/>
        <n v="34858"/>
        <n v="90864"/>
        <n v="99145"/>
        <n v="48352"/>
        <n v="37940"/>
        <n v="110695"/>
        <n v="89776"/>
        <n v="58387"/>
        <n v="39303"/>
      </sharedItems>
    </cacheField>
    <cacheField name="Attendance_%" numFmtId="0">
      <sharedItems containsSemiMixedTypes="0" containsString="0" containsNumber="1" minValue="70.13" maxValue="99.95"/>
    </cacheField>
    <cacheField name="Overtime_Hours" numFmtId="0">
      <sharedItems containsSemiMixedTypes="0" containsString="0" containsNumber="1" containsInteger="1" minValue="0" maxValue="30" count="30">
        <n v="6"/>
        <n v="10"/>
        <n v="1"/>
        <n v="22"/>
        <n v="16"/>
        <n v="28"/>
        <n v="26"/>
        <n v="25"/>
        <n v="15"/>
        <n v="17"/>
        <n v="19"/>
        <n v="27"/>
        <n v="14"/>
        <n v="2"/>
        <n v="13"/>
        <n v="18"/>
        <n v="0"/>
        <n v="5"/>
        <n v="24"/>
        <n v="20"/>
        <n v="30"/>
        <n v="9"/>
        <n v="11"/>
        <n v="29"/>
        <n v="12"/>
        <n v="7"/>
        <n v="3"/>
        <n v="21"/>
        <n v="23"/>
        <n v="8"/>
      </sharedItems>
    </cacheField>
    <cacheField name="Who works the most overtime hours?" numFmtId="0">
      <sharedItems count="2">
        <s v="Less overtime"/>
        <s v="Worked most overtime"/>
      </sharedItems>
    </cacheField>
    <cacheField name="Performance_Rating" numFmtId="0">
      <sharedItems containsSemiMixedTypes="0" containsString="0" containsNumber="1" containsInteger="1" minValue="1" maxValue="5"/>
    </cacheField>
    <cacheField name="Performance Evaluation" numFmtId="0">
      <sharedItems count="3">
        <s v="Good"/>
        <s v="Bad"/>
        <s v="Average"/>
      </sharedItems>
    </cacheField>
    <cacheField name="Promotion_Status" numFmtId="0">
      <sharedItems count="2">
        <s v="Promoted"/>
        <s v="Not Promoted"/>
      </sharedItems>
    </cacheField>
    <cacheField name="Attrition_Status" numFmtId="0">
      <sharedItems count="2">
        <s v="Resigned"/>
        <s v="Active"/>
      </sharedItems>
    </cacheField>
    <cacheField name="Leave_Days" numFmtId="0">
      <sharedItems containsSemiMixedTypes="0" containsString="0" containsNumber="1" containsInteger="1" minValue="0" maxValue="20"/>
    </cacheField>
    <cacheField name="Who Takes The Most Leaves?" numFmtId="0">
      <sharedItems count="2">
        <s v="Takes Less Leaves"/>
        <s v="Takes More Leaves"/>
      </sharedItems>
    </cacheField>
    <cacheField name="Work_From_Home_Days" numFmtId="0">
      <sharedItems containsSemiMixedTypes="0" containsString="0" containsNumber="1" containsInteger="1" minValue="0" maxValue="15"/>
    </cacheField>
  </cacheFields>
  <extLst>
    <ext xmlns:x14="http://schemas.microsoft.com/office/spreadsheetml/2009/9/main" uri="{725AE2AE-9491-48be-B2B4-4EB974FC3084}">
      <x14:pivotCacheDefinition pivotCacheId="1477851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x v="0"/>
    <x v="0"/>
    <x v="0"/>
    <x v="0"/>
    <x v="0"/>
    <d v="2022-09-04T00:00:00"/>
    <x v="0"/>
    <n v="99.44"/>
    <x v="0"/>
    <x v="0"/>
    <n v="5"/>
    <x v="0"/>
    <x v="0"/>
    <x v="0"/>
    <n v="2"/>
    <x v="0"/>
    <n v="11"/>
  </r>
  <r>
    <s v="E002"/>
    <x v="1"/>
    <x v="1"/>
    <x v="0"/>
    <x v="1"/>
    <x v="1"/>
    <d v="2018-04-17T00:00:00"/>
    <x v="1"/>
    <n v="95.41"/>
    <x v="1"/>
    <x v="0"/>
    <n v="5"/>
    <x v="0"/>
    <x v="0"/>
    <x v="1"/>
    <n v="4"/>
    <x v="0"/>
    <n v="13"/>
  </r>
  <r>
    <s v="E003"/>
    <x v="2"/>
    <x v="2"/>
    <x v="0"/>
    <x v="2"/>
    <x v="1"/>
    <d v="2021-06-30T00:00:00"/>
    <x v="2"/>
    <n v="90.3"/>
    <x v="2"/>
    <x v="0"/>
    <n v="1"/>
    <x v="1"/>
    <x v="0"/>
    <x v="0"/>
    <n v="17"/>
    <x v="1"/>
    <n v="4"/>
  </r>
  <r>
    <s v="E004"/>
    <x v="3"/>
    <x v="2"/>
    <x v="0"/>
    <x v="3"/>
    <x v="2"/>
    <d v="2023-12-05T00:00:00"/>
    <x v="3"/>
    <n v="75.040000000000006"/>
    <x v="3"/>
    <x v="1"/>
    <n v="1"/>
    <x v="1"/>
    <x v="1"/>
    <x v="1"/>
    <n v="5"/>
    <x v="0"/>
    <n v="14"/>
  </r>
  <r>
    <s v="E005"/>
    <x v="4"/>
    <x v="0"/>
    <x v="0"/>
    <x v="4"/>
    <x v="2"/>
    <d v="2020-07-08T00:00:00"/>
    <x v="4"/>
    <n v="83.45"/>
    <x v="4"/>
    <x v="1"/>
    <n v="3"/>
    <x v="2"/>
    <x v="1"/>
    <x v="0"/>
    <n v="3"/>
    <x v="0"/>
    <n v="12"/>
  </r>
  <r>
    <s v="E006"/>
    <x v="5"/>
    <x v="3"/>
    <x v="1"/>
    <x v="5"/>
    <x v="1"/>
    <d v="2017-01-28T00:00:00"/>
    <x v="5"/>
    <n v="88.36"/>
    <x v="5"/>
    <x v="1"/>
    <n v="5"/>
    <x v="0"/>
    <x v="0"/>
    <x v="0"/>
    <n v="13"/>
    <x v="1"/>
    <n v="10"/>
  </r>
  <r>
    <s v="E007"/>
    <x v="6"/>
    <x v="4"/>
    <x v="1"/>
    <x v="6"/>
    <x v="1"/>
    <d v="2020-07-26T00:00:00"/>
    <x v="6"/>
    <n v="93.69"/>
    <x v="4"/>
    <x v="1"/>
    <n v="4"/>
    <x v="0"/>
    <x v="1"/>
    <x v="0"/>
    <n v="2"/>
    <x v="0"/>
    <n v="12"/>
  </r>
  <r>
    <s v="E008"/>
    <x v="7"/>
    <x v="1"/>
    <x v="2"/>
    <x v="7"/>
    <x v="0"/>
    <d v="2024-09-21T00:00:00"/>
    <x v="7"/>
    <n v="92.64"/>
    <x v="6"/>
    <x v="1"/>
    <n v="5"/>
    <x v="0"/>
    <x v="0"/>
    <x v="1"/>
    <n v="4"/>
    <x v="0"/>
    <n v="2"/>
  </r>
  <r>
    <s v="E009"/>
    <x v="8"/>
    <x v="0"/>
    <x v="1"/>
    <x v="8"/>
    <x v="2"/>
    <d v="2020-12-25T00:00:00"/>
    <x v="8"/>
    <n v="95.93"/>
    <x v="0"/>
    <x v="0"/>
    <n v="2"/>
    <x v="1"/>
    <x v="1"/>
    <x v="1"/>
    <n v="10"/>
    <x v="0"/>
    <n v="9"/>
  </r>
  <r>
    <s v="E010"/>
    <x v="9"/>
    <x v="4"/>
    <x v="0"/>
    <x v="4"/>
    <x v="0"/>
    <d v="2018-12-17T00:00:00"/>
    <x v="9"/>
    <n v="98.04"/>
    <x v="1"/>
    <x v="0"/>
    <n v="5"/>
    <x v="0"/>
    <x v="1"/>
    <x v="1"/>
    <n v="18"/>
    <x v="1"/>
    <n v="11"/>
  </r>
  <r>
    <s v="E011"/>
    <x v="10"/>
    <x v="3"/>
    <x v="1"/>
    <x v="9"/>
    <x v="0"/>
    <d v="2019-09-09T00:00:00"/>
    <x v="10"/>
    <n v="85.71"/>
    <x v="7"/>
    <x v="1"/>
    <n v="4"/>
    <x v="0"/>
    <x v="1"/>
    <x v="0"/>
    <n v="19"/>
    <x v="1"/>
    <n v="1"/>
  </r>
  <r>
    <s v="E012"/>
    <x v="11"/>
    <x v="4"/>
    <x v="1"/>
    <x v="10"/>
    <x v="2"/>
    <d v="2018-09-18T00:00:00"/>
    <x v="11"/>
    <n v="95.83"/>
    <x v="8"/>
    <x v="1"/>
    <n v="5"/>
    <x v="0"/>
    <x v="1"/>
    <x v="0"/>
    <n v="17"/>
    <x v="1"/>
    <n v="1"/>
  </r>
  <r>
    <s v="E013"/>
    <x v="12"/>
    <x v="0"/>
    <x v="0"/>
    <x v="11"/>
    <x v="2"/>
    <d v="2020-08-06T00:00:00"/>
    <x v="12"/>
    <n v="87.28"/>
    <x v="9"/>
    <x v="1"/>
    <n v="1"/>
    <x v="1"/>
    <x v="0"/>
    <x v="0"/>
    <n v="7"/>
    <x v="0"/>
    <n v="13"/>
  </r>
  <r>
    <s v="E014"/>
    <x v="13"/>
    <x v="0"/>
    <x v="0"/>
    <x v="12"/>
    <x v="2"/>
    <d v="2020-12-23T00:00:00"/>
    <x v="13"/>
    <n v="97.37"/>
    <x v="10"/>
    <x v="1"/>
    <n v="3"/>
    <x v="2"/>
    <x v="0"/>
    <x v="0"/>
    <n v="2"/>
    <x v="0"/>
    <n v="1"/>
  </r>
  <r>
    <s v="E015"/>
    <x v="14"/>
    <x v="0"/>
    <x v="0"/>
    <x v="11"/>
    <x v="0"/>
    <d v="2020-01-21T00:00:00"/>
    <x v="14"/>
    <n v="72.61"/>
    <x v="5"/>
    <x v="1"/>
    <n v="4"/>
    <x v="0"/>
    <x v="1"/>
    <x v="1"/>
    <n v="2"/>
    <x v="0"/>
    <n v="13"/>
  </r>
  <r>
    <s v="E016"/>
    <x v="15"/>
    <x v="1"/>
    <x v="0"/>
    <x v="13"/>
    <x v="1"/>
    <d v="2020-11-19T00:00:00"/>
    <x v="15"/>
    <n v="84.72"/>
    <x v="11"/>
    <x v="1"/>
    <n v="2"/>
    <x v="1"/>
    <x v="0"/>
    <x v="1"/>
    <n v="3"/>
    <x v="0"/>
    <n v="4"/>
  </r>
  <r>
    <s v="E017"/>
    <x v="16"/>
    <x v="3"/>
    <x v="2"/>
    <x v="3"/>
    <x v="0"/>
    <d v="2019-01-24T00:00:00"/>
    <x v="16"/>
    <n v="82.76"/>
    <x v="12"/>
    <x v="0"/>
    <n v="1"/>
    <x v="1"/>
    <x v="1"/>
    <x v="1"/>
    <n v="14"/>
    <x v="1"/>
    <n v="9"/>
  </r>
  <r>
    <s v="E018"/>
    <x v="17"/>
    <x v="0"/>
    <x v="0"/>
    <x v="4"/>
    <x v="1"/>
    <d v="2018-07-23T00:00:00"/>
    <x v="17"/>
    <n v="94.89"/>
    <x v="13"/>
    <x v="0"/>
    <n v="3"/>
    <x v="2"/>
    <x v="0"/>
    <x v="1"/>
    <n v="10"/>
    <x v="0"/>
    <n v="1"/>
  </r>
  <r>
    <s v="E019"/>
    <x v="18"/>
    <x v="1"/>
    <x v="1"/>
    <x v="14"/>
    <x v="2"/>
    <d v="2024-10-03T00:00:00"/>
    <x v="18"/>
    <n v="90.77"/>
    <x v="14"/>
    <x v="0"/>
    <n v="1"/>
    <x v="1"/>
    <x v="0"/>
    <x v="0"/>
    <n v="4"/>
    <x v="0"/>
    <n v="0"/>
  </r>
  <r>
    <s v="E020"/>
    <x v="19"/>
    <x v="1"/>
    <x v="1"/>
    <x v="3"/>
    <x v="2"/>
    <d v="2019-10-05T00:00:00"/>
    <x v="19"/>
    <n v="84.15"/>
    <x v="10"/>
    <x v="1"/>
    <n v="4"/>
    <x v="0"/>
    <x v="1"/>
    <x v="1"/>
    <n v="16"/>
    <x v="1"/>
    <n v="6"/>
  </r>
  <r>
    <s v="E021"/>
    <x v="20"/>
    <x v="2"/>
    <x v="0"/>
    <x v="7"/>
    <x v="0"/>
    <d v="2019-03-06T00:00:00"/>
    <x v="20"/>
    <n v="85.84"/>
    <x v="14"/>
    <x v="0"/>
    <n v="4"/>
    <x v="0"/>
    <x v="0"/>
    <x v="1"/>
    <n v="17"/>
    <x v="1"/>
    <n v="11"/>
  </r>
  <r>
    <s v="E022"/>
    <x v="21"/>
    <x v="0"/>
    <x v="1"/>
    <x v="15"/>
    <x v="0"/>
    <d v="2019-08-12T00:00:00"/>
    <x v="21"/>
    <n v="99.08"/>
    <x v="15"/>
    <x v="1"/>
    <n v="5"/>
    <x v="0"/>
    <x v="0"/>
    <x v="1"/>
    <n v="0"/>
    <x v="0"/>
    <n v="15"/>
  </r>
  <r>
    <s v="E023"/>
    <x v="22"/>
    <x v="1"/>
    <x v="2"/>
    <x v="16"/>
    <x v="2"/>
    <d v="2021-11-21T00:00:00"/>
    <x v="22"/>
    <n v="90.58"/>
    <x v="16"/>
    <x v="0"/>
    <n v="4"/>
    <x v="0"/>
    <x v="0"/>
    <x v="1"/>
    <n v="19"/>
    <x v="1"/>
    <n v="0"/>
  </r>
  <r>
    <s v="E024"/>
    <x v="23"/>
    <x v="3"/>
    <x v="1"/>
    <x v="12"/>
    <x v="0"/>
    <d v="2020-07-02T00:00:00"/>
    <x v="23"/>
    <n v="74.069999999999993"/>
    <x v="14"/>
    <x v="0"/>
    <n v="1"/>
    <x v="1"/>
    <x v="1"/>
    <x v="1"/>
    <n v="10"/>
    <x v="0"/>
    <n v="10"/>
  </r>
  <r>
    <s v="E025"/>
    <x v="24"/>
    <x v="3"/>
    <x v="1"/>
    <x v="12"/>
    <x v="1"/>
    <d v="2019-06-19T00:00:00"/>
    <x v="24"/>
    <n v="76.53"/>
    <x v="0"/>
    <x v="0"/>
    <n v="3"/>
    <x v="2"/>
    <x v="1"/>
    <x v="0"/>
    <n v="9"/>
    <x v="0"/>
    <n v="11"/>
  </r>
  <r>
    <s v="E026"/>
    <x v="25"/>
    <x v="4"/>
    <x v="0"/>
    <x v="5"/>
    <x v="1"/>
    <d v="2021-07-18T00:00:00"/>
    <x v="25"/>
    <n v="84.54"/>
    <x v="2"/>
    <x v="0"/>
    <n v="1"/>
    <x v="1"/>
    <x v="1"/>
    <x v="0"/>
    <n v="10"/>
    <x v="0"/>
    <n v="3"/>
  </r>
  <r>
    <s v="E027"/>
    <x v="26"/>
    <x v="4"/>
    <x v="1"/>
    <x v="17"/>
    <x v="2"/>
    <d v="2023-09-03T00:00:00"/>
    <x v="26"/>
    <n v="79.39"/>
    <x v="17"/>
    <x v="0"/>
    <n v="2"/>
    <x v="1"/>
    <x v="1"/>
    <x v="1"/>
    <n v="13"/>
    <x v="1"/>
    <n v="7"/>
  </r>
  <r>
    <s v="E028"/>
    <x v="27"/>
    <x v="0"/>
    <x v="1"/>
    <x v="5"/>
    <x v="1"/>
    <d v="2020-02-28T00:00:00"/>
    <x v="27"/>
    <n v="75.900000000000006"/>
    <x v="18"/>
    <x v="1"/>
    <n v="4"/>
    <x v="0"/>
    <x v="0"/>
    <x v="1"/>
    <n v="13"/>
    <x v="1"/>
    <n v="8"/>
  </r>
  <r>
    <s v="E029"/>
    <x v="28"/>
    <x v="3"/>
    <x v="1"/>
    <x v="10"/>
    <x v="2"/>
    <d v="2020-10-17T00:00:00"/>
    <x v="28"/>
    <n v="88.38"/>
    <x v="19"/>
    <x v="1"/>
    <n v="4"/>
    <x v="0"/>
    <x v="1"/>
    <x v="0"/>
    <n v="8"/>
    <x v="0"/>
    <n v="4"/>
  </r>
  <r>
    <s v="E030"/>
    <x v="29"/>
    <x v="4"/>
    <x v="1"/>
    <x v="18"/>
    <x v="2"/>
    <d v="2024-04-06T00:00:00"/>
    <x v="29"/>
    <n v="78.760000000000005"/>
    <x v="20"/>
    <x v="1"/>
    <n v="5"/>
    <x v="0"/>
    <x v="0"/>
    <x v="0"/>
    <n v="2"/>
    <x v="0"/>
    <n v="10"/>
  </r>
  <r>
    <s v="E031"/>
    <x v="30"/>
    <x v="4"/>
    <x v="1"/>
    <x v="9"/>
    <x v="1"/>
    <d v="2021-03-16T00:00:00"/>
    <x v="30"/>
    <n v="97.08"/>
    <x v="14"/>
    <x v="0"/>
    <n v="2"/>
    <x v="1"/>
    <x v="0"/>
    <x v="0"/>
    <n v="8"/>
    <x v="0"/>
    <n v="15"/>
  </r>
  <r>
    <s v="E032"/>
    <x v="31"/>
    <x v="4"/>
    <x v="1"/>
    <x v="19"/>
    <x v="1"/>
    <d v="2020-07-07T00:00:00"/>
    <x v="31"/>
    <n v="71.83"/>
    <x v="8"/>
    <x v="1"/>
    <n v="2"/>
    <x v="1"/>
    <x v="1"/>
    <x v="1"/>
    <n v="7"/>
    <x v="0"/>
    <n v="1"/>
  </r>
  <r>
    <s v="E033"/>
    <x v="32"/>
    <x v="0"/>
    <x v="2"/>
    <x v="20"/>
    <x v="2"/>
    <d v="2016-12-27T00:00:00"/>
    <x v="32"/>
    <n v="91.12"/>
    <x v="20"/>
    <x v="1"/>
    <n v="4"/>
    <x v="0"/>
    <x v="0"/>
    <x v="1"/>
    <n v="1"/>
    <x v="0"/>
    <n v="5"/>
  </r>
  <r>
    <s v="E034"/>
    <x v="33"/>
    <x v="2"/>
    <x v="1"/>
    <x v="6"/>
    <x v="2"/>
    <d v="2016-07-26T00:00:00"/>
    <x v="33"/>
    <n v="72.08"/>
    <x v="3"/>
    <x v="1"/>
    <n v="5"/>
    <x v="0"/>
    <x v="0"/>
    <x v="1"/>
    <n v="19"/>
    <x v="1"/>
    <n v="12"/>
  </r>
  <r>
    <s v="E035"/>
    <x v="34"/>
    <x v="2"/>
    <x v="0"/>
    <x v="5"/>
    <x v="1"/>
    <d v="2016-04-08T00:00:00"/>
    <x v="34"/>
    <n v="73.5"/>
    <x v="15"/>
    <x v="1"/>
    <n v="3"/>
    <x v="2"/>
    <x v="0"/>
    <x v="1"/>
    <n v="18"/>
    <x v="1"/>
    <n v="12"/>
  </r>
  <r>
    <s v="E036"/>
    <x v="35"/>
    <x v="2"/>
    <x v="1"/>
    <x v="7"/>
    <x v="1"/>
    <d v="2023-02-20T00:00:00"/>
    <x v="35"/>
    <n v="86.8"/>
    <x v="21"/>
    <x v="0"/>
    <n v="3"/>
    <x v="2"/>
    <x v="0"/>
    <x v="1"/>
    <n v="9"/>
    <x v="0"/>
    <n v="10"/>
  </r>
  <r>
    <s v="E037"/>
    <x v="36"/>
    <x v="0"/>
    <x v="0"/>
    <x v="16"/>
    <x v="0"/>
    <d v="2024-03-30T00:00:00"/>
    <x v="36"/>
    <n v="97.56"/>
    <x v="11"/>
    <x v="1"/>
    <n v="5"/>
    <x v="0"/>
    <x v="1"/>
    <x v="1"/>
    <n v="6"/>
    <x v="0"/>
    <n v="9"/>
  </r>
  <r>
    <s v="E038"/>
    <x v="37"/>
    <x v="2"/>
    <x v="0"/>
    <x v="6"/>
    <x v="0"/>
    <d v="2024-01-13T00:00:00"/>
    <x v="37"/>
    <n v="99.12"/>
    <x v="4"/>
    <x v="1"/>
    <n v="1"/>
    <x v="1"/>
    <x v="1"/>
    <x v="1"/>
    <n v="2"/>
    <x v="0"/>
    <n v="0"/>
  </r>
  <r>
    <s v="E039"/>
    <x v="38"/>
    <x v="2"/>
    <x v="1"/>
    <x v="21"/>
    <x v="2"/>
    <d v="2019-09-11T00:00:00"/>
    <x v="38"/>
    <n v="75.819999999999993"/>
    <x v="22"/>
    <x v="0"/>
    <n v="5"/>
    <x v="0"/>
    <x v="1"/>
    <x v="1"/>
    <n v="18"/>
    <x v="1"/>
    <n v="0"/>
  </r>
  <r>
    <s v="E040"/>
    <x v="39"/>
    <x v="4"/>
    <x v="1"/>
    <x v="17"/>
    <x v="2"/>
    <d v="2020-04-28T00:00:00"/>
    <x v="39"/>
    <n v="95.97"/>
    <x v="10"/>
    <x v="1"/>
    <n v="2"/>
    <x v="1"/>
    <x v="1"/>
    <x v="1"/>
    <n v="9"/>
    <x v="0"/>
    <n v="8"/>
  </r>
  <r>
    <s v="E041"/>
    <x v="36"/>
    <x v="4"/>
    <x v="0"/>
    <x v="22"/>
    <x v="2"/>
    <d v="2021-10-03T00:00:00"/>
    <x v="40"/>
    <n v="92.83"/>
    <x v="3"/>
    <x v="1"/>
    <n v="3"/>
    <x v="2"/>
    <x v="1"/>
    <x v="0"/>
    <n v="7"/>
    <x v="0"/>
    <n v="12"/>
  </r>
  <r>
    <s v="E042"/>
    <x v="40"/>
    <x v="2"/>
    <x v="2"/>
    <x v="15"/>
    <x v="2"/>
    <d v="2017-12-06T00:00:00"/>
    <x v="41"/>
    <n v="90.97"/>
    <x v="23"/>
    <x v="1"/>
    <n v="3"/>
    <x v="2"/>
    <x v="1"/>
    <x v="0"/>
    <n v="2"/>
    <x v="0"/>
    <n v="14"/>
  </r>
  <r>
    <s v="E043"/>
    <x v="41"/>
    <x v="1"/>
    <x v="1"/>
    <x v="14"/>
    <x v="2"/>
    <d v="2020-09-07T00:00:00"/>
    <x v="42"/>
    <n v="80.569999999999993"/>
    <x v="0"/>
    <x v="0"/>
    <n v="3"/>
    <x v="2"/>
    <x v="1"/>
    <x v="1"/>
    <n v="14"/>
    <x v="1"/>
    <n v="4"/>
  </r>
  <r>
    <s v="E044"/>
    <x v="42"/>
    <x v="0"/>
    <x v="2"/>
    <x v="23"/>
    <x v="1"/>
    <d v="2024-05-08T00:00:00"/>
    <x v="43"/>
    <n v="73.489999999999995"/>
    <x v="24"/>
    <x v="0"/>
    <n v="1"/>
    <x v="1"/>
    <x v="0"/>
    <x v="0"/>
    <n v="7"/>
    <x v="0"/>
    <n v="12"/>
  </r>
  <r>
    <s v="E045"/>
    <x v="43"/>
    <x v="0"/>
    <x v="1"/>
    <x v="24"/>
    <x v="0"/>
    <d v="2022-04-15T00:00:00"/>
    <x v="44"/>
    <n v="71.989999999999995"/>
    <x v="4"/>
    <x v="1"/>
    <n v="5"/>
    <x v="0"/>
    <x v="0"/>
    <x v="1"/>
    <n v="17"/>
    <x v="1"/>
    <n v="3"/>
  </r>
  <r>
    <s v="E046"/>
    <x v="44"/>
    <x v="2"/>
    <x v="0"/>
    <x v="25"/>
    <x v="0"/>
    <d v="2019-12-21T00:00:00"/>
    <x v="45"/>
    <n v="89.54"/>
    <x v="22"/>
    <x v="0"/>
    <n v="3"/>
    <x v="2"/>
    <x v="0"/>
    <x v="1"/>
    <n v="9"/>
    <x v="0"/>
    <n v="0"/>
  </r>
  <r>
    <s v="E047"/>
    <x v="45"/>
    <x v="4"/>
    <x v="2"/>
    <x v="26"/>
    <x v="1"/>
    <d v="2021-09-08T00:00:00"/>
    <x v="46"/>
    <n v="77.33"/>
    <x v="2"/>
    <x v="0"/>
    <n v="1"/>
    <x v="1"/>
    <x v="1"/>
    <x v="0"/>
    <n v="6"/>
    <x v="0"/>
    <n v="11"/>
  </r>
  <r>
    <s v="E048"/>
    <x v="46"/>
    <x v="4"/>
    <x v="0"/>
    <x v="7"/>
    <x v="0"/>
    <d v="2017-03-15T00:00:00"/>
    <x v="47"/>
    <n v="85.64"/>
    <x v="16"/>
    <x v="0"/>
    <n v="4"/>
    <x v="0"/>
    <x v="1"/>
    <x v="1"/>
    <n v="6"/>
    <x v="0"/>
    <n v="11"/>
  </r>
  <r>
    <s v="E049"/>
    <x v="47"/>
    <x v="2"/>
    <x v="1"/>
    <x v="20"/>
    <x v="2"/>
    <d v="2023-07-30T00:00:00"/>
    <x v="48"/>
    <n v="81.099999999999994"/>
    <x v="13"/>
    <x v="0"/>
    <n v="2"/>
    <x v="1"/>
    <x v="1"/>
    <x v="0"/>
    <n v="12"/>
    <x v="1"/>
    <n v="4"/>
  </r>
  <r>
    <s v="E050"/>
    <x v="48"/>
    <x v="3"/>
    <x v="2"/>
    <x v="3"/>
    <x v="0"/>
    <d v="2021-01-17T00:00:00"/>
    <x v="49"/>
    <n v="99.95"/>
    <x v="4"/>
    <x v="1"/>
    <n v="1"/>
    <x v="1"/>
    <x v="0"/>
    <x v="1"/>
    <n v="6"/>
    <x v="0"/>
    <n v="6"/>
  </r>
  <r>
    <s v="E051"/>
    <x v="49"/>
    <x v="0"/>
    <x v="1"/>
    <x v="26"/>
    <x v="2"/>
    <d v="2024-01-01T00:00:00"/>
    <x v="50"/>
    <n v="70.66"/>
    <x v="23"/>
    <x v="1"/>
    <n v="1"/>
    <x v="1"/>
    <x v="0"/>
    <x v="1"/>
    <n v="6"/>
    <x v="0"/>
    <n v="5"/>
  </r>
  <r>
    <s v="E052"/>
    <x v="50"/>
    <x v="1"/>
    <x v="1"/>
    <x v="16"/>
    <x v="0"/>
    <d v="2018-05-15T00:00:00"/>
    <x v="51"/>
    <n v="94.6"/>
    <x v="5"/>
    <x v="1"/>
    <n v="3"/>
    <x v="2"/>
    <x v="0"/>
    <x v="0"/>
    <n v="14"/>
    <x v="1"/>
    <n v="12"/>
  </r>
  <r>
    <s v="E053"/>
    <x v="51"/>
    <x v="3"/>
    <x v="0"/>
    <x v="16"/>
    <x v="1"/>
    <d v="2015-10-31T00:00:00"/>
    <x v="52"/>
    <n v="98.5"/>
    <x v="17"/>
    <x v="0"/>
    <n v="4"/>
    <x v="0"/>
    <x v="1"/>
    <x v="1"/>
    <n v="14"/>
    <x v="1"/>
    <n v="12"/>
  </r>
  <r>
    <s v="E054"/>
    <x v="52"/>
    <x v="0"/>
    <x v="1"/>
    <x v="22"/>
    <x v="2"/>
    <d v="2024-03-03T00:00:00"/>
    <x v="53"/>
    <n v="70.8"/>
    <x v="25"/>
    <x v="0"/>
    <n v="2"/>
    <x v="1"/>
    <x v="0"/>
    <x v="1"/>
    <n v="3"/>
    <x v="0"/>
    <n v="7"/>
  </r>
  <r>
    <s v="E055"/>
    <x v="53"/>
    <x v="2"/>
    <x v="0"/>
    <x v="7"/>
    <x v="0"/>
    <d v="2018-07-25T00:00:00"/>
    <x v="54"/>
    <n v="71.94"/>
    <x v="3"/>
    <x v="1"/>
    <n v="4"/>
    <x v="0"/>
    <x v="1"/>
    <x v="1"/>
    <n v="19"/>
    <x v="1"/>
    <n v="11"/>
  </r>
  <r>
    <s v="E056"/>
    <x v="54"/>
    <x v="4"/>
    <x v="2"/>
    <x v="1"/>
    <x v="2"/>
    <d v="2020-05-07T00:00:00"/>
    <x v="55"/>
    <n v="82.52"/>
    <x v="17"/>
    <x v="0"/>
    <n v="2"/>
    <x v="1"/>
    <x v="0"/>
    <x v="1"/>
    <n v="20"/>
    <x v="1"/>
    <n v="4"/>
  </r>
  <r>
    <s v="E057"/>
    <x v="55"/>
    <x v="2"/>
    <x v="0"/>
    <x v="3"/>
    <x v="1"/>
    <d v="2019-12-13T00:00:00"/>
    <x v="56"/>
    <n v="75.53"/>
    <x v="20"/>
    <x v="1"/>
    <n v="3"/>
    <x v="2"/>
    <x v="0"/>
    <x v="1"/>
    <n v="2"/>
    <x v="0"/>
    <n v="11"/>
  </r>
  <r>
    <s v="E058"/>
    <x v="56"/>
    <x v="3"/>
    <x v="0"/>
    <x v="8"/>
    <x v="2"/>
    <d v="2018-08-22T00:00:00"/>
    <x v="57"/>
    <n v="74.02"/>
    <x v="16"/>
    <x v="0"/>
    <n v="2"/>
    <x v="1"/>
    <x v="1"/>
    <x v="1"/>
    <n v="12"/>
    <x v="1"/>
    <n v="4"/>
  </r>
  <r>
    <s v="E059"/>
    <x v="57"/>
    <x v="3"/>
    <x v="0"/>
    <x v="27"/>
    <x v="1"/>
    <d v="2017-10-09T00:00:00"/>
    <x v="58"/>
    <n v="72.58"/>
    <x v="19"/>
    <x v="1"/>
    <n v="5"/>
    <x v="0"/>
    <x v="0"/>
    <x v="0"/>
    <n v="6"/>
    <x v="0"/>
    <n v="3"/>
  </r>
  <r>
    <s v="E060"/>
    <x v="58"/>
    <x v="1"/>
    <x v="1"/>
    <x v="4"/>
    <x v="2"/>
    <d v="2018-02-06T00:00:00"/>
    <x v="59"/>
    <n v="83.51"/>
    <x v="15"/>
    <x v="1"/>
    <n v="4"/>
    <x v="0"/>
    <x v="0"/>
    <x v="0"/>
    <n v="7"/>
    <x v="0"/>
    <n v="13"/>
  </r>
  <r>
    <s v="E061"/>
    <x v="59"/>
    <x v="4"/>
    <x v="0"/>
    <x v="24"/>
    <x v="2"/>
    <d v="2020-04-25T00:00:00"/>
    <x v="60"/>
    <n v="70.13"/>
    <x v="22"/>
    <x v="0"/>
    <n v="5"/>
    <x v="0"/>
    <x v="1"/>
    <x v="0"/>
    <n v="6"/>
    <x v="0"/>
    <n v="8"/>
  </r>
  <r>
    <s v="E062"/>
    <x v="60"/>
    <x v="4"/>
    <x v="0"/>
    <x v="19"/>
    <x v="2"/>
    <d v="2024-10-15T00:00:00"/>
    <x v="61"/>
    <n v="75.11"/>
    <x v="19"/>
    <x v="1"/>
    <n v="3"/>
    <x v="2"/>
    <x v="1"/>
    <x v="0"/>
    <n v="5"/>
    <x v="0"/>
    <n v="12"/>
  </r>
  <r>
    <s v="E063"/>
    <x v="61"/>
    <x v="0"/>
    <x v="0"/>
    <x v="16"/>
    <x v="0"/>
    <d v="2020-03-05T00:00:00"/>
    <x v="62"/>
    <n v="83.25"/>
    <x v="15"/>
    <x v="1"/>
    <n v="1"/>
    <x v="1"/>
    <x v="0"/>
    <x v="0"/>
    <n v="8"/>
    <x v="0"/>
    <n v="11"/>
  </r>
  <r>
    <s v="E064"/>
    <x v="62"/>
    <x v="1"/>
    <x v="0"/>
    <x v="28"/>
    <x v="1"/>
    <d v="2018-09-11T00:00:00"/>
    <x v="63"/>
    <n v="90.76"/>
    <x v="17"/>
    <x v="0"/>
    <n v="5"/>
    <x v="0"/>
    <x v="0"/>
    <x v="1"/>
    <n v="13"/>
    <x v="1"/>
    <n v="4"/>
  </r>
  <r>
    <s v="E065"/>
    <x v="63"/>
    <x v="0"/>
    <x v="2"/>
    <x v="14"/>
    <x v="1"/>
    <d v="2023-11-08T00:00:00"/>
    <x v="64"/>
    <n v="95.76"/>
    <x v="15"/>
    <x v="1"/>
    <n v="1"/>
    <x v="1"/>
    <x v="1"/>
    <x v="0"/>
    <n v="8"/>
    <x v="0"/>
    <n v="12"/>
  </r>
  <r>
    <s v="E066"/>
    <x v="64"/>
    <x v="1"/>
    <x v="0"/>
    <x v="8"/>
    <x v="0"/>
    <d v="2024-02-16T00:00:00"/>
    <x v="65"/>
    <n v="93.51"/>
    <x v="17"/>
    <x v="0"/>
    <n v="3"/>
    <x v="2"/>
    <x v="1"/>
    <x v="1"/>
    <n v="2"/>
    <x v="0"/>
    <n v="9"/>
  </r>
  <r>
    <s v="E067"/>
    <x v="65"/>
    <x v="4"/>
    <x v="2"/>
    <x v="15"/>
    <x v="1"/>
    <d v="2017-07-30T00:00:00"/>
    <x v="66"/>
    <n v="83.36"/>
    <x v="12"/>
    <x v="0"/>
    <n v="1"/>
    <x v="1"/>
    <x v="1"/>
    <x v="0"/>
    <n v="9"/>
    <x v="0"/>
    <n v="3"/>
  </r>
  <r>
    <s v="E068"/>
    <x v="66"/>
    <x v="0"/>
    <x v="2"/>
    <x v="19"/>
    <x v="2"/>
    <d v="2021-05-17T00:00:00"/>
    <x v="67"/>
    <n v="80.2"/>
    <x v="7"/>
    <x v="1"/>
    <n v="2"/>
    <x v="1"/>
    <x v="0"/>
    <x v="1"/>
    <n v="9"/>
    <x v="0"/>
    <n v="8"/>
  </r>
  <r>
    <s v="E069"/>
    <x v="67"/>
    <x v="4"/>
    <x v="0"/>
    <x v="2"/>
    <x v="0"/>
    <d v="2020-02-13T00:00:00"/>
    <x v="68"/>
    <n v="77.680000000000007"/>
    <x v="25"/>
    <x v="0"/>
    <n v="1"/>
    <x v="1"/>
    <x v="1"/>
    <x v="0"/>
    <n v="1"/>
    <x v="0"/>
    <n v="9"/>
  </r>
  <r>
    <s v="E070"/>
    <x v="68"/>
    <x v="0"/>
    <x v="0"/>
    <x v="18"/>
    <x v="1"/>
    <d v="2024-05-02T00:00:00"/>
    <x v="69"/>
    <n v="92.76"/>
    <x v="14"/>
    <x v="0"/>
    <n v="4"/>
    <x v="0"/>
    <x v="1"/>
    <x v="0"/>
    <n v="4"/>
    <x v="0"/>
    <n v="11"/>
  </r>
  <r>
    <s v="E071"/>
    <x v="69"/>
    <x v="2"/>
    <x v="1"/>
    <x v="14"/>
    <x v="1"/>
    <d v="2023-11-21T00:00:00"/>
    <x v="70"/>
    <n v="93.01"/>
    <x v="23"/>
    <x v="1"/>
    <n v="4"/>
    <x v="0"/>
    <x v="0"/>
    <x v="1"/>
    <n v="13"/>
    <x v="1"/>
    <n v="15"/>
  </r>
  <r>
    <s v="E072"/>
    <x v="70"/>
    <x v="1"/>
    <x v="2"/>
    <x v="29"/>
    <x v="2"/>
    <d v="2024-02-15T00:00:00"/>
    <x v="71"/>
    <n v="93.63"/>
    <x v="26"/>
    <x v="0"/>
    <n v="3"/>
    <x v="2"/>
    <x v="0"/>
    <x v="0"/>
    <n v="10"/>
    <x v="0"/>
    <n v="9"/>
  </r>
  <r>
    <s v="E073"/>
    <x v="71"/>
    <x v="1"/>
    <x v="2"/>
    <x v="13"/>
    <x v="1"/>
    <d v="2017-02-13T00:00:00"/>
    <x v="72"/>
    <n v="81.540000000000006"/>
    <x v="21"/>
    <x v="0"/>
    <n v="1"/>
    <x v="1"/>
    <x v="1"/>
    <x v="1"/>
    <n v="17"/>
    <x v="1"/>
    <n v="13"/>
  </r>
  <r>
    <s v="E074"/>
    <x v="72"/>
    <x v="2"/>
    <x v="1"/>
    <x v="19"/>
    <x v="2"/>
    <d v="2016-05-29T00:00:00"/>
    <x v="73"/>
    <n v="72.41"/>
    <x v="27"/>
    <x v="1"/>
    <n v="2"/>
    <x v="1"/>
    <x v="0"/>
    <x v="0"/>
    <n v="13"/>
    <x v="1"/>
    <n v="6"/>
  </r>
  <r>
    <s v="E075"/>
    <x v="73"/>
    <x v="0"/>
    <x v="0"/>
    <x v="8"/>
    <x v="1"/>
    <d v="2023-04-18T00:00:00"/>
    <x v="74"/>
    <n v="96.53"/>
    <x v="4"/>
    <x v="1"/>
    <n v="2"/>
    <x v="1"/>
    <x v="0"/>
    <x v="0"/>
    <n v="0"/>
    <x v="0"/>
    <n v="10"/>
  </r>
  <r>
    <s v="E076"/>
    <x v="74"/>
    <x v="2"/>
    <x v="1"/>
    <x v="8"/>
    <x v="0"/>
    <d v="2020-05-17T00:00:00"/>
    <x v="75"/>
    <n v="83.15"/>
    <x v="9"/>
    <x v="1"/>
    <n v="1"/>
    <x v="1"/>
    <x v="0"/>
    <x v="0"/>
    <n v="20"/>
    <x v="1"/>
    <n v="3"/>
  </r>
  <r>
    <s v="E077"/>
    <x v="75"/>
    <x v="2"/>
    <x v="2"/>
    <x v="0"/>
    <x v="1"/>
    <d v="2019-06-13T00:00:00"/>
    <x v="76"/>
    <n v="83.19"/>
    <x v="28"/>
    <x v="1"/>
    <n v="4"/>
    <x v="0"/>
    <x v="0"/>
    <x v="0"/>
    <n v="19"/>
    <x v="1"/>
    <n v="0"/>
  </r>
  <r>
    <s v="E078"/>
    <x v="76"/>
    <x v="0"/>
    <x v="0"/>
    <x v="24"/>
    <x v="2"/>
    <d v="2018-07-29T00:00:00"/>
    <x v="77"/>
    <n v="98.92"/>
    <x v="4"/>
    <x v="1"/>
    <n v="2"/>
    <x v="1"/>
    <x v="0"/>
    <x v="0"/>
    <n v="13"/>
    <x v="1"/>
    <n v="12"/>
  </r>
  <r>
    <s v="E079"/>
    <x v="77"/>
    <x v="0"/>
    <x v="1"/>
    <x v="23"/>
    <x v="0"/>
    <d v="2020-10-04T00:00:00"/>
    <x v="78"/>
    <n v="97.13"/>
    <x v="7"/>
    <x v="1"/>
    <n v="3"/>
    <x v="2"/>
    <x v="1"/>
    <x v="0"/>
    <n v="6"/>
    <x v="0"/>
    <n v="7"/>
  </r>
  <r>
    <s v="E080"/>
    <x v="78"/>
    <x v="0"/>
    <x v="1"/>
    <x v="22"/>
    <x v="1"/>
    <d v="2024-06-19T00:00:00"/>
    <x v="79"/>
    <n v="86.77"/>
    <x v="29"/>
    <x v="0"/>
    <n v="5"/>
    <x v="0"/>
    <x v="1"/>
    <x v="1"/>
    <n v="0"/>
    <x v="0"/>
    <n v="1"/>
  </r>
  <r>
    <s v="E081"/>
    <x v="79"/>
    <x v="0"/>
    <x v="2"/>
    <x v="9"/>
    <x v="1"/>
    <d v="2022-12-17T00:00:00"/>
    <x v="80"/>
    <n v="93.25"/>
    <x v="22"/>
    <x v="0"/>
    <n v="5"/>
    <x v="0"/>
    <x v="0"/>
    <x v="0"/>
    <n v="10"/>
    <x v="0"/>
    <n v="1"/>
  </r>
  <r>
    <s v="E082"/>
    <x v="80"/>
    <x v="0"/>
    <x v="0"/>
    <x v="12"/>
    <x v="0"/>
    <d v="2020-02-12T00:00:00"/>
    <x v="81"/>
    <n v="79.180000000000007"/>
    <x v="14"/>
    <x v="0"/>
    <n v="3"/>
    <x v="2"/>
    <x v="1"/>
    <x v="1"/>
    <n v="12"/>
    <x v="1"/>
    <n v="8"/>
  </r>
  <r>
    <s v="E083"/>
    <x v="81"/>
    <x v="4"/>
    <x v="1"/>
    <x v="10"/>
    <x v="2"/>
    <d v="2024-03-02T00:00:00"/>
    <x v="82"/>
    <n v="70.209999999999994"/>
    <x v="8"/>
    <x v="1"/>
    <n v="1"/>
    <x v="1"/>
    <x v="1"/>
    <x v="0"/>
    <n v="10"/>
    <x v="0"/>
    <n v="12"/>
  </r>
  <r>
    <s v="E084"/>
    <x v="82"/>
    <x v="4"/>
    <x v="1"/>
    <x v="15"/>
    <x v="2"/>
    <d v="2024-01-07T00:00:00"/>
    <x v="83"/>
    <n v="81.739999999999995"/>
    <x v="0"/>
    <x v="0"/>
    <n v="3"/>
    <x v="2"/>
    <x v="0"/>
    <x v="0"/>
    <n v="13"/>
    <x v="1"/>
    <n v="4"/>
  </r>
  <r>
    <s v="E085"/>
    <x v="83"/>
    <x v="2"/>
    <x v="1"/>
    <x v="27"/>
    <x v="2"/>
    <d v="2021-03-06T00:00:00"/>
    <x v="84"/>
    <n v="87.55"/>
    <x v="6"/>
    <x v="1"/>
    <n v="4"/>
    <x v="0"/>
    <x v="1"/>
    <x v="0"/>
    <n v="15"/>
    <x v="1"/>
    <n v="11"/>
  </r>
  <r>
    <s v="E086"/>
    <x v="84"/>
    <x v="2"/>
    <x v="1"/>
    <x v="1"/>
    <x v="1"/>
    <d v="2020-01-25T00:00:00"/>
    <x v="85"/>
    <n v="71.77"/>
    <x v="5"/>
    <x v="1"/>
    <n v="2"/>
    <x v="1"/>
    <x v="1"/>
    <x v="0"/>
    <n v="1"/>
    <x v="0"/>
    <n v="12"/>
  </r>
  <r>
    <s v="E087"/>
    <x v="85"/>
    <x v="1"/>
    <x v="0"/>
    <x v="14"/>
    <x v="2"/>
    <d v="2021-09-19T00:00:00"/>
    <x v="86"/>
    <n v="95.89"/>
    <x v="9"/>
    <x v="1"/>
    <n v="2"/>
    <x v="1"/>
    <x v="1"/>
    <x v="1"/>
    <n v="15"/>
    <x v="1"/>
    <n v="8"/>
  </r>
  <r>
    <s v="E088"/>
    <x v="86"/>
    <x v="3"/>
    <x v="1"/>
    <x v="10"/>
    <x v="1"/>
    <d v="2024-01-13T00:00:00"/>
    <x v="87"/>
    <n v="85.07"/>
    <x v="23"/>
    <x v="1"/>
    <n v="3"/>
    <x v="2"/>
    <x v="0"/>
    <x v="0"/>
    <n v="11"/>
    <x v="0"/>
    <n v="11"/>
  </r>
  <r>
    <s v="E089"/>
    <x v="87"/>
    <x v="0"/>
    <x v="2"/>
    <x v="20"/>
    <x v="1"/>
    <d v="2020-10-06T00:00:00"/>
    <x v="88"/>
    <n v="75.88"/>
    <x v="15"/>
    <x v="1"/>
    <n v="4"/>
    <x v="0"/>
    <x v="0"/>
    <x v="1"/>
    <n v="3"/>
    <x v="0"/>
    <n v="0"/>
  </r>
  <r>
    <s v="E090"/>
    <x v="88"/>
    <x v="0"/>
    <x v="2"/>
    <x v="7"/>
    <x v="2"/>
    <d v="2024-05-19T00:00:00"/>
    <x v="89"/>
    <n v="82.42"/>
    <x v="12"/>
    <x v="0"/>
    <n v="2"/>
    <x v="1"/>
    <x v="0"/>
    <x v="0"/>
    <n v="7"/>
    <x v="0"/>
    <n v="11"/>
  </r>
  <r>
    <s v="E091"/>
    <x v="89"/>
    <x v="4"/>
    <x v="0"/>
    <x v="3"/>
    <x v="1"/>
    <d v="2024-08-30T00:00:00"/>
    <x v="90"/>
    <n v="91.96"/>
    <x v="18"/>
    <x v="1"/>
    <n v="3"/>
    <x v="2"/>
    <x v="0"/>
    <x v="1"/>
    <n v="2"/>
    <x v="0"/>
    <n v="10"/>
  </r>
  <r>
    <s v="E092"/>
    <x v="90"/>
    <x v="2"/>
    <x v="1"/>
    <x v="23"/>
    <x v="0"/>
    <d v="2022-11-27T00:00:00"/>
    <x v="91"/>
    <n v="74.150000000000006"/>
    <x v="8"/>
    <x v="1"/>
    <n v="5"/>
    <x v="0"/>
    <x v="0"/>
    <x v="1"/>
    <n v="12"/>
    <x v="1"/>
    <n v="13"/>
  </r>
  <r>
    <s v="E093"/>
    <x v="91"/>
    <x v="1"/>
    <x v="0"/>
    <x v="26"/>
    <x v="2"/>
    <d v="2019-05-17T00:00:00"/>
    <x v="92"/>
    <n v="83.24"/>
    <x v="23"/>
    <x v="1"/>
    <n v="2"/>
    <x v="1"/>
    <x v="0"/>
    <x v="0"/>
    <n v="19"/>
    <x v="1"/>
    <n v="1"/>
  </r>
  <r>
    <s v="E094"/>
    <x v="92"/>
    <x v="1"/>
    <x v="0"/>
    <x v="7"/>
    <x v="1"/>
    <d v="2020-07-06T00:00:00"/>
    <x v="93"/>
    <n v="91.29"/>
    <x v="22"/>
    <x v="0"/>
    <n v="3"/>
    <x v="2"/>
    <x v="0"/>
    <x v="0"/>
    <n v="9"/>
    <x v="0"/>
    <n v="4"/>
  </r>
  <r>
    <s v="E095"/>
    <x v="93"/>
    <x v="2"/>
    <x v="0"/>
    <x v="19"/>
    <x v="0"/>
    <d v="2022-04-17T00:00:00"/>
    <x v="94"/>
    <n v="72.98"/>
    <x v="29"/>
    <x v="0"/>
    <n v="3"/>
    <x v="2"/>
    <x v="0"/>
    <x v="0"/>
    <n v="19"/>
    <x v="1"/>
    <n v="15"/>
  </r>
  <r>
    <s v="E096"/>
    <x v="94"/>
    <x v="4"/>
    <x v="2"/>
    <x v="24"/>
    <x v="2"/>
    <d v="2019-06-21T00:00:00"/>
    <x v="95"/>
    <n v="80.67"/>
    <x v="8"/>
    <x v="1"/>
    <n v="4"/>
    <x v="0"/>
    <x v="1"/>
    <x v="0"/>
    <n v="16"/>
    <x v="1"/>
    <n v="2"/>
  </r>
  <r>
    <s v="E097"/>
    <x v="95"/>
    <x v="1"/>
    <x v="1"/>
    <x v="26"/>
    <x v="2"/>
    <d v="2016-05-19T00:00:00"/>
    <x v="96"/>
    <n v="87.39"/>
    <x v="7"/>
    <x v="1"/>
    <n v="1"/>
    <x v="1"/>
    <x v="0"/>
    <x v="0"/>
    <n v="6"/>
    <x v="0"/>
    <n v="3"/>
  </r>
  <r>
    <s v="E098"/>
    <x v="96"/>
    <x v="4"/>
    <x v="1"/>
    <x v="17"/>
    <x v="0"/>
    <d v="2018-02-22T00:00:00"/>
    <x v="97"/>
    <n v="79.67"/>
    <x v="12"/>
    <x v="0"/>
    <n v="1"/>
    <x v="1"/>
    <x v="1"/>
    <x v="0"/>
    <n v="20"/>
    <x v="1"/>
    <n v="15"/>
  </r>
  <r>
    <s v="E099"/>
    <x v="97"/>
    <x v="4"/>
    <x v="0"/>
    <x v="22"/>
    <x v="2"/>
    <d v="2020-11-30T00:00:00"/>
    <x v="98"/>
    <n v="79.42"/>
    <x v="23"/>
    <x v="1"/>
    <n v="1"/>
    <x v="1"/>
    <x v="1"/>
    <x v="1"/>
    <n v="3"/>
    <x v="0"/>
    <n v="10"/>
  </r>
  <r>
    <s v="E100"/>
    <x v="98"/>
    <x v="2"/>
    <x v="1"/>
    <x v="12"/>
    <x v="1"/>
    <d v="2022-08-02T00:00:00"/>
    <x v="99"/>
    <n v="72.209999999999994"/>
    <x v="16"/>
    <x v="0"/>
    <n v="3"/>
    <x v="2"/>
    <x v="1"/>
    <x v="0"/>
    <n v="3"/>
    <x v="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25A26-2DAC-4F72-833A-390488B172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8">
    <pivotField dataField="1" showAll="0"/>
    <pivotField showAll="0"/>
    <pivotField axis="axisRow" showAll="0">
      <items count="6">
        <item x="3"/>
        <item x="0"/>
        <item x="4"/>
        <item x="2"/>
        <item x="1"/>
        <item t="default"/>
      </items>
    </pivotField>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items count="101">
        <item x="0"/>
        <item x="49"/>
        <item x="91"/>
        <item x="12"/>
        <item x="55"/>
        <item x="15"/>
        <item x="51"/>
        <item x="95"/>
        <item x="42"/>
        <item x="54"/>
        <item x="99"/>
        <item x="41"/>
        <item x="77"/>
        <item x="30"/>
        <item x="86"/>
        <item x="3"/>
        <item x="89"/>
        <item x="65"/>
        <item x="78"/>
        <item x="94"/>
        <item x="82"/>
        <item x="21"/>
        <item x="63"/>
        <item x="44"/>
        <item x="28"/>
        <item x="29"/>
        <item x="58"/>
        <item x="67"/>
        <item x="70"/>
        <item x="71"/>
        <item x="98"/>
        <item x="1"/>
        <item x="16"/>
        <item x="20"/>
        <item x="68"/>
        <item x="14"/>
        <item x="69"/>
        <item x="85"/>
        <item x="17"/>
        <item x="6"/>
        <item x="34"/>
        <item x="13"/>
        <item x="53"/>
        <item x="40"/>
        <item x="75"/>
        <item x="59"/>
        <item x="38"/>
        <item x="2"/>
        <item x="19"/>
        <item x="61"/>
        <item x="73"/>
        <item x="62"/>
        <item x="46"/>
        <item x="33"/>
        <item x="57"/>
        <item x="74"/>
        <item x="8"/>
        <item x="25"/>
        <item x="84"/>
        <item x="24"/>
        <item x="32"/>
        <item x="72"/>
        <item x="27"/>
        <item x="47"/>
        <item x="80"/>
        <item x="76"/>
        <item x="97"/>
        <item x="50"/>
        <item x="92"/>
        <item x="81"/>
        <item x="88"/>
        <item x="23"/>
        <item x="4"/>
        <item x="56"/>
        <item x="10"/>
        <item x="79"/>
        <item x="35"/>
        <item x="87"/>
        <item x="22"/>
        <item x="36"/>
        <item x="64"/>
        <item x="93"/>
        <item x="45"/>
        <item x="48"/>
        <item x="31"/>
        <item x="43"/>
        <item x="7"/>
        <item x="66"/>
        <item x="18"/>
        <item x="90"/>
        <item x="39"/>
        <item x="11"/>
        <item x="96"/>
        <item x="9"/>
        <item x="26"/>
        <item x="37"/>
        <item x="5"/>
        <item x="60"/>
        <item x="52"/>
        <item x="83"/>
        <item t="default"/>
      </items>
    </pivotField>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Fields count="1">
    <field x="2"/>
  </rowFields>
  <rowItems count="6">
    <i>
      <x/>
    </i>
    <i>
      <x v="1"/>
    </i>
    <i>
      <x v="2"/>
    </i>
    <i>
      <x v="3"/>
    </i>
    <i>
      <x v="4"/>
    </i>
    <i t="grand">
      <x/>
    </i>
  </rowItems>
  <colItems count="1">
    <i/>
  </colItems>
  <dataFields count="1">
    <dataField name="Number of Employees" fld="0"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09C6E-E61D-410D-8584-A7DAA375139B}" name="HeatMap"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epartment">
  <location ref="A3:D8" firstHeaderRow="0" firstDataRow="1" firstDataCol="1"/>
  <pivotFields count="18">
    <pivotField showAll="0"/>
    <pivotField showAll="0"/>
    <pivotField axis="axisRow" showAll="0">
      <items count="6">
        <item x="3"/>
        <item x="0"/>
        <item x="4"/>
        <item x="2"/>
        <item x="1"/>
        <item t="default"/>
      </items>
    </pivotField>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dataField="1" showAll="0"/>
    <pivotField dataField="1" showAll="0"/>
    <pivotField showAll="0"/>
    <pivotField dataField="1" showAll="0"/>
    <pivotField showAll="0"/>
    <pivotField showAll="0">
      <items count="3">
        <item x="1"/>
        <item x="0"/>
        <item t="default"/>
      </items>
    </pivotField>
    <pivotField showAll="0">
      <items count="3">
        <item x="1"/>
        <item x="0"/>
        <item t="default"/>
      </items>
    </pivotField>
    <pivotField showAll="0"/>
    <pivotField showAll="0"/>
    <pivotField showAll="0"/>
  </pivotFields>
  <rowFields count="1">
    <field x="2"/>
  </rowFields>
  <rowItems count="5">
    <i>
      <x/>
    </i>
    <i>
      <x v="1"/>
    </i>
    <i>
      <x v="2"/>
    </i>
    <i>
      <x v="3"/>
    </i>
    <i>
      <x v="4"/>
    </i>
  </rowItems>
  <colFields count="1">
    <field x="-2"/>
  </colFields>
  <colItems count="3">
    <i>
      <x/>
    </i>
    <i i="1">
      <x v="1"/>
    </i>
    <i i="2">
      <x v="2"/>
    </i>
  </colItems>
  <dataFields count="3">
    <dataField name="Average of Attendance_%" fld="8" subtotal="average" baseField="2" baseItem="0"/>
    <dataField name="Average of Performance_Rating" fld="11" subtotal="average" baseField="2" baseItem="0"/>
    <dataField name="Average of Overtime_Hours" fld="9" subtotal="average" baseField="2" baseItem="0"/>
  </dataFields>
  <formats count="1">
    <format dxfId="22">
      <pivotArea outline="0" collapsedLevelsAreSubtotals="1" fieldPosition="0"/>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75721-7425-4F41-8CAD-2D73CAE852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8">
    <pivotField showAll="0"/>
    <pivotField showAll="0"/>
    <pivotField axis="axisRow" showAll="0">
      <items count="6">
        <item x="3"/>
        <item x="0"/>
        <item x="4"/>
        <item x="2"/>
        <item x="1"/>
        <item t="default"/>
      </items>
    </pivotField>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dataField="1"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Fields count="1">
    <field x="2"/>
  </rowFields>
  <rowItems count="6">
    <i>
      <x/>
    </i>
    <i>
      <x v="1"/>
    </i>
    <i>
      <x v="2"/>
    </i>
    <i>
      <x v="3"/>
    </i>
    <i>
      <x v="4"/>
    </i>
    <i t="grand">
      <x/>
    </i>
  </rowItems>
  <colItems count="1">
    <i/>
  </colItems>
  <dataFields count="1">
    <dataField name="Average of Attendance_%" fld="8" subtotal="average" baseField="2" baseItem="0"/>
  </dataFields>
  <formats count="2">
    <format dxfId="21">
      <pivotArea collapsedLevelsAreSubtotals="1" fieldPosition="0">
        <references count="1">
          <reference field="2" count="0"/>
        </references>
      </pivotArea>
    </format>
    <format dxfId="20">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DEB58-095D-4B1C-8C49-AE5F2ADFBE90}" name="Area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9" firstHeaderRow="0" firstDataRow="1" firstDataCol="1"/>
  <pivotFields count="18">
    <pivotField showAll="0"/>
    <pivotField showAll="0"/>
    <pivotField axis="axisRow" showAll="0">
      <items count="6">
        <item x="3"/>
        <item x="0"/>
        <item x="4"/>
        <item x="2"/>
        <item x="1"/>
        <item t="default"/>
      </items>
    </pivotField>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dataField="1" numFmtId="165" showAll="0"/>
    <pivotField dataField="1"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Average of Monthly_Salary" fld="7" subtotal="average" baseField="2" baseItem="0" numFmtId="165"/>
    <dataField name="Average of Attendance_%" fld="8" subtotal="average" baseField="2" baseItem="0"/>
  </dataFields>
  <formats count="1">
    <format dxfId="1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4"/>
          </reference>
        </references>
      </pivotArea>
    </chartFormat>
    <chartFormat chart="0" format="3">
      <pivotArea type="data" outline="0" fieldPosition="0">
        <references count="2">
          <reference field="4294967294" count="1" selected="0">
            <x v="1"/>
          </reference>
          <reference field="2" count="1" selected="0">
            <x v="0"/>
          </reference>
        </references>
      </pivotArea>
    </chartFormat>
    <chartFormat chart="0" format="4">
      <pivotArea type="data" outline="0" fieldPosition="0">
        <references count="2">
          <reference field="4294967294" count="1" selected="0">
            <x v="1"/>
          </reference>
          <reference field="2" count="1" selected="0">
            <x v="3"/>
          </reference>
        </references>
      </pivotArea>
    </chartFormat>
    <chartFormat chart="0" format="5">
      <pivotArea type="data" outline="0" fieldPosition="0">
        <references count="2">
          <reference field="4294967294" count="1" selected="0">
            <x v="1"/>
          </reference>
          <reference field="2" count="1" selected="0">
            <x v="2"/>
          </reference>
        </references>
      </pivotArea>
    </chartFormat>
    <chartFormat chart="0" format="6">
      <pivotArea type="data" outline="0" fieldPosition="0">
        <references count="2">
          <reference field="4294967294" count="1" selected="0">
            <x v="1"/>
          </reference>
          <reference field="2"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2" count="1" selected="0">
            <x v="0"/>
          </reference>
        </references>
      </pivotArea>
    </chartFormat>
    <chartFormat chart="9" format="17">
      <pivotArea type="data" outline="0" fieldPosition="0">
        <references count="2">
          <reference field="4294967294" count="1" selected="0">
            <x v="1"/>
          </reference>
          <reference field="2" count="1" selected="0">
            <x v="1"/>
          </reference>
        </references>
      </pivotArea>
    </chartFormat>
    <chartFormat chart="9" format="18">
      <pivotArea type="data" outline="0" fieldPosition="0">
        <references count="2">
          <reference field="4294967294" count="1" selected="0">
            <x v="1"/>
          </reference>
          <reference field="2" count="1" selected="0">
            <x v="2"/>
          </reference>
        </references>
      </pivotArea>
    </chartFormat>
    <chartFormat chart="9" format="19">
      <pivotArea type="data" outline="0" fieldPosition="0">
        <references count="2">
          <reference field="4294967294" count="1" selected="0">
            <x v="1"/>
          </reference>
          <reference field="2" count="1" selected="0">
            <x v="3"/>
          </reference>
        </references>
      </pivotArea>
    </chartFormat>
    <chartFormat chart="9" format="20">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A98E64-5CC5-4181-92EE-5AFA4BA1AE6B}"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18">
    <pivotField showAll="0"/>
    <pivotField showAll="0"/>
    <pivotField showAll="0">
      <items count="6">
        <item x="3"/>
        <item x="0"/>
        <item x="4"/>
        <item x="2"/>
        <item x="1"/>
        <item t="default"/>
      </items>
    </pivotField>
    <pivotField axis="axisRow" dataField="1"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Fields count="1">
    <field x="3"/>
  </rowFields>
  <rowItems count="4">
    <i>
      <x/>
    </i>
    <i>
      <x v="1"/>
    </i>
    <i>
      <x v="2"/>
    </i>
    <i t="grand">
      <x/>
    </i>
  </rowItems>
  <colItems count="1">
    <i/>
  </colItems>
  <dataFields count="1">
    <dataField name="Gender Count" fld="3" subtotal="count" baseField="3"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3" count="1" selected="0">
            <x v="0"/>
          </reference>
        </references>
      </pivotArea>
    </chartFormat>
    <chartFormat chart="15" format="10">
      <pivotArea type="data" outline="0" fieldPosition="0">
        <references count="2">
          <reference field="4294967294" count="1" selected="0">
            <x v="0"/>
          </reference>
          <reference field="3" count="1" selected="0">
            <x v="1"/>
          </reference>
        </references>
      </pivotArea>
    </chartFormat>
    <chartFormat chart="1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F0B8A5-8EFD-4E1F-B498-48DEB0B8E4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8">
    <pivotField showAll="0"/>
    <pivotField showAll="0"/>
    <pivotField axis="axisRow" showAll="0">
      <items count="6">
        <item x="3"/>
        <item x="0"/>
        <item x="4"/>
        <item x="2"/>
        <item x="1"/>
        <item t="default"/>
      </items>
    </pivotField>
    <pivotField showAll="0"/>
    <pivotField showAll="0"/>
    <pivotField showAll="0"/>
    <pivotField numFmtId="164" showAll="0"/>
    <pivotField dataField="1" numFmtId="165"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Monthly_Salary" fld="7" subtotal="average" baseField="2" baseItem="0" numFmtId="165"/>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8C8E87-C08E-4E73-AD03-BC9BFC74D387}" name="KPI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E7D977-3A6C-4034-A42C-A896A316DFC7}" name="KPI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dataField="1" numFmtId="165"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Items count="1">
    <i/>
  </rowItems>
  <colItems count="1">
    <i/>
  </colItems>
  <dataFields count="1">
    <dataField name="Average of Monthly_Salary"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BCD4F3-2B04-4F3E-BDF4-DD3B6F400968}" name="KPI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dataField="1" showAll="0"/>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Items count="1">
    <i/>
  </rowItems>
  <colItems count="1">
    <i/>
  </colItems>
  <dataFields count="1">
    <dataField name="Average of Attendance_%" fld="8" subtotal="average" baseField="0" baseItem="0" numFmtId="2"/>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AC5022-1919-404D-9DEE-94F8B9BC5792}" name="KPI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showAll="0"/>
    <pivotField showAll="0"/>
    <pivotField showAll="0"/>
    <pivotField dataField="1" showAll="0"/>
    <pivotField showAll="0"/>
    <pivotField showAll="0">
      <items count="3">
        <item x="1"/>
        <item x="0"/>
        <item t="default"/>
      </items>
    </pivotField>
    <pivotField showAll="0">
      <items count="3">
        <item x="1"/>
        <item x="0"/>
        <item t="default"/>
      </items>
    </pivotField>
    <pivotField showAll="0"/>
    <pivotField showAll="0"/>
    <pivotField showAll="0"/>
  </pivotFields>
  <rowItems count="1">
    <i/>
  </rowItems>
  <colItems count="1">
    <i/>
  </colItems>
  <dataFields count="1">
    <dataField name="Average of Performance_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BF1C63-5AC7-41A5-ABD1-7ADDDD1AF707}" name="KPI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items count="4">
        <item x="1"/>
        <item x="0"/>
        <item x="2"/>
        <item t="default"/>
      </items>
    </pivotField>
    <pivotField showAll="0">
      <items count="31">
        <item x="17"/>
        <item x="27"/>
        <item x="19"/>
        <item x="14"/>
        <item x="1"/>
        <item x="8"/>
        <item x="11"/>
        <item x="23"/>
        <item x="5"/>
        <item x="26"/>
        <item x="0"/>
        <item x="21"/>
        <item x="29"/>
        <item x="20"/>
        <item x="16"/>
        <item x="4"/>
        <item x="9"/>
        <item x="28"/>
        <item x="7"/>
        <item x="3"/>
        <item x="18"/>
        <item x="10"/>
        <item x="13"/>
        <item x="25"/>
        <item x="22"/>
        <item x="6"/>
        <item x="24"/>
        <item x="12"/>
        <item x="2"/>
        <item x="15"/>
        <item t="default"/>
      </items>
    </pivotField>
    <pivotField showAll="0">
      <items count="4">
        <item x="2"/>
        <item x="1"/>
        <item x="0"/>
        <item t="default"/>
      </items>
    </pivotField>
    <pivotField numFmtId="164" showAll="0"/>
    <pivotField numFmtId="165" showAll="0"/>
    <pivotField showAll="0"/>
    <pivotField dataField="1"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s>
  <rowItems count="1">
    <i/>
  </rowItems>
  <colItems count="1">
    <i/>
  </colItems>
  <dataFields count="1">
    <dataField name="Average of Overtime_Hour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F83C225-8EE8-46A4-8982-990194FA24D3}" sourceName="Gender">
  <pivotTables>
    <pivotTable tabId="5" name="PivotTable3"/>
    <pivotTable tabId="26" name="AreaChart"/>
    <pivotTable tabId="6" name="PivotTable4"/>
    <pivotTable tabId="12" name="PivotTable37"/>
    <pivotTable tabId="31" name="HeatMap"/>
    <pivotTable tabId="32" name="KPI 1"/>
    <pivotTable tabId="34" name="KPI3"/>
    <pivotTable tabId="36" name="KPI5"/>
    <pivotTable tabId="35" name="KPI4"/>
    <pivotTable tabId="33" name="KPI2"/>
  </pivotTables>
  <data>
    <tabular pivotCacheId="14778514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9C1E88D-8FAA-413F-94B2-7084E04F076D}" sourceName="Age">
  <pivotTables>
    <pivotTable tabId="5" name="PivotTable3"/>
    <pivotTable tabId="26" name="AreaChart"/>
    <pivotTable tabId="6" name="PivotTable4"/>
    <pivotTable tabId="12" name="PivotTable37"/>
    <pivotTable tabId="31" name="HeatMap"/>
    <pivotTable tabId="32" name="KPI 1"/>
    <pivotTable tabId="34" name="KPI3"/>
    <pivotTable tabId="36" name="KPI5"/>
    <pivotTable tabId="35" name="KPI4"/>
    <pivotTable tabId="33" name="KPI2"/>
  </pivotTables>
  <data>
    <tabular pivotCacheId="1477851419">
      <items count="30">
        <i x="17" s="1"/>
        <i x="27" s="1"/>
        <i x="19" s="1"/>
        <i x="14" s="1"/>
        <i x="1" s="1"/>
        <i x="8" s="1"/>
        <i x="11" s="1"/>
        <i x="23" s="1"/>
        <i x="5" s="1"/>
        <i x="26" s="1"/>
        <i x="0" s="1"/>
        <i x="21" s="1"/>
        <i x="29" s="1"/>
        <i x="20" s="1"/>
        <i x="16" s="1"/>
        <i x="4" s="1"/>
        <i x="9" s="1"/>
        <i x="28" s="1"/>
        <i x="7" s="1"/>
        <i x="3" s="1"/>
        <i x="18" s="1"/>
        <i x="10" s="1"/>
        <i x="13" s="1"/>
        <i x="25" s="1"/>
        <i x="22" s="1"/>
        <i x="6" s="1"/>
        <i x="24" s="1"/>
        <i x="12" s="1"/>
        <i x="2"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E45D7D79-03EE-4D89-9517-F6FEA06C3B9E}" sourceName="Education_Level">
  <pivotTables>
    <pivotTable tabId="5" name="PivotTable3"/>
    <pivotTable tabId="26" name="AreaChart"/>
    <pivotTable tabId="6" name="PivotTable4"/>
    <pivotTable tabId="12" name="PivotTable37"/>
    <pivotTable tabId="31" name="HeatMap"/>
    <pivotTable tabId="32" name="KPI 1"/>
    <pivotTable tabId="34" name="KPI3"/>
    <pivotTable tabId="36" name="KPI5"/>
    <pivotTable tabId="35" name="KPI4"/>
    <pivotTable tabId="33" name="KPI2"/>
  </pivotTables>
  <data>
    <tabular pivotCacheId="147785141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Status" xr10:uid="{D27CF5BE-E7BB-469A-8C0D-44232EB740F8}" sourceName="Promotion_Status">
  <pivotTables>
    <pivotTable tabId="5" name="PivotTable3"/>
    <pivotTable tabId="26" name="AreaChart"/>
    <pivotTable tabId="6" name="PivotTable4"/>
    <pivotTable tabId="12" name="PivotTable37"/>
    <pivotTable tabId="31" name="HeatMap"/>
    <pivotTable tabId="32" name="KPI 1"/>
    <pivotTable tabId="34" name="KPI3"/>
    <pivotTable tabId="36" name="KPI5"/>
    <pivotTable tabId="35" name="KPI4"/>
    <pivotTable tabId="33" name="KPI2"/>
  </pivotTables>
  <data>
    <tabular pivotCacheId="147785141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Status" xr10:uid="{62E9D09D-8199-49D1-861F-645D93E893E1}" sourceName="Attrition_Status">
  <pivotTables>
    <pivotTable tabId="5" name="PivotTable3"/>
    <pivotTable tabId="26" name="AreaChart"/>
    <pivotTable tabId="6" name="PivotTable4"/>
    <pivotTable tabId="12" name="PivotTable37"/>
    <pivotTable tabId="31" name="HeatMap"/>
    <pivotTable tabId="32" name="KPI 1"/>
    <pivotTable tabId="34" name="KPI3"/>
    <pivotTable tabId="36" name="KPI5"/>
    <pivotTable tabId="35" name="KPI4"/>
    <pivotTable tabId="33" name="KPI2"/>
  </pivotTables>
  <data>
    <tabular pivotCacheId="14778514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701A894-E4E6-4213-8723-F84816CD29A3}" cache="Slicer_Gender" caption="Gender" rowHeight="234950"/>
  <slicer name="Age" xr10:uid="{4E4B5B3E-5DA4-4577-90BE-AFB007B3A5B8}" cache="Slicer_Age" caption="Age" rowHeight="234950"/>
  <slicer name="Education_Level" xr10:uid="{529C5409-A337-4267-B7E6-C7AA5B6E109F}" cache="Slicer_Education_Level" caption="Education_Level" rowHeight="234950"/>
  <slicer name="Promotion_Status" xr10:uid="{C9E5BD35-F370-47A1-BA4A-C71DEBF7054F}" cache="Slicer_Promotion_Status" caption="Promotion_Status" rowHeight="234950"/>
  <slicer name="Attrition_Status" xr10:uid="{DD1E38B5-B3DD-4D6E-8100-467D1C12EE60}" cache="Slicer_Attrition_Status" caption="Attrition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29C430-F473-4AF6-A548-3EA734A16634}" name="Table1" displayName="Table1" ref="A1:R101" totalsRowShown="0" headerRowDxfId="27" headerRowBorderDxfId="26" tableBorderDxfId="25">
  <autoFilter ref="A1:R101" xr:uid="{A729C430-F473-4AF6-A548-3EA734A16634}"/>
  <tableColumns count="18">
    <tableColumn id="1" xr3:uid="{3C63D6C0-35CE-4703-94FD-9FB24F2FC6F0}" name="Employee_ID"/>
    <tableColumn id="2" xr3:uid="{761431BF-5E2E-4261-8BA2-7CD5D9992A56}" name="Name"/>
    <tableColumn id="3" xr3:uid="{E6D452CF-8786-4B79-A3E9-586283CDCCB6}" name="Department"/>
    <tableColumn id="4" xr3:uid="{40E53A90-D328-44D4-8EC9-12E62B8A454D}" name="Gender"/>
    <tableColumn id="5" xr3:uid="{EDD4CBAD-612A-4C26-9040-D854FBBD9ED3}" name="Age"/>
    <tableColumn id="6" xr3:uid="{939480A8-2307-4029-ABE3-1A2E37A32D76}" name="Education_Level"/>
    <tableColumn id="7" xr3:uid="{95F75641-8A5E-4C49-A085-39D9EEB37FC5}" name="Joining_Date" dataDxfId="24"/>
    <tableColumn id="8" xr3:uid="{E12B9E95-3999-44F6-B5DD-A40E434481E1}" name="Monthly_Salary" dataDxfId="23"/>
    <tableColumn id="9" xr3:uid="{ECCB8EF6-A8F7-4DC5-B829-35C90D93919D}" name="Attendance_%"/>
    <tableColumn id="10" xr3:uid="{A4CCD0D4-026B-4285-9C04-0BC517DBDD2D}" name="Overtime_Hours"/>
    <tableColumn id="11" xr3:uid="{B4B5BB8E-3300-438A-B47E-A12A28561630}" name="Who works the most overtime hours?">
      <calculatedColumnFormula>IF(J2&gt;=15, "Worked most overtime", "Less overtime")</calculatedColumnFormula>
    </tableColumn>
    <tableColumn id="12" xr3:uid="{C36FFB02-810C-4D2E-B240-F51CDA9CAFF4}" name="Performance_Rating"/>
    <tableColumn id="13" xr3:uid="{9D02797C-46EA-457F-A5A0-8FDCB266A608}" name="Performance Evaluation">
      <calculatedColumnFormula array="1">_xlfn.IFS(L2&gt;=4, "Good", L2 = 3, "Average", L2&lt;=2, "Bad")</calculatedColumnFormula>
    </tableColumn>
    <tableColumn id="14" xr3:uid="{ADE053C4-D336-47AC-BC40-81AD923DA7D7}" name="Promotion_Status"/>
    <tableColumn id="15" xr3:uid="{51E6CA18-45A9-4ABA-A98A-A33CB58406BE}" name="Attrition_Status"/>
    <tableColumn id="16" xr3:uid="{D92A5A07-FC93-46C7-8E54-67D7AA39C95C}" name="Leave_Days"/>
    <tableColumn id="17" xr3:uid="{713E40C6-239E-4FB4-AF40-B4B69C4EABFC}" name="Who Takes The Most Leaves?">
      <calculatedColumnFormula array="1">_xlfn.IFS(P2&gt;=12, "Takes More Leaves", P2&lt;=11, "Takes Less Leaves")</calculatedColumnFormula>
    </tableColumn>
    <tableColumn id="18" xr3:uid="{B6CC9476-987A-47CB-8AF1-63CCF4590C4B}" name="Work_From_Home_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B4211A-F5D2-4893-A926-FDC7754095D7}" name="Table2" displayName="Table2" ref="A1:D6" totalsRowShown="0" headerRowDxfId="18">
  <autoFilter ref="A1:D6" xr:uid="{7BB4211A-F5D2-4893-A926-FDC7754095D7}"/>
  <tableColumns count="4">
    <tableColumn id="1" xr3:uid="{8321B37F-D0B1-4AC4-9AB9-B802272F78C2}" name="Department"/>
    <tableColumn id="2" xr3:uid="{B54844E6-F077-483C-8A33-A54D43D4C9C2}" name="Average Salary" dataDxfId="17">
      <calculatedColumnFormula>AVERAGEIF(Table1[Department], A2, Table1[Monthly_Salary])</calculatedColumnFormula>
    </tableColumn>
    <tableColumn id="3" xr3:uid="{A2627ABA-DB7F-427C-B0F2-912615C8DF7A}" name="Average Performance" dataDxfId="16">
      <calculatedColumnFormula>AVERAGEIF(Table1[Department], A2, Table1[Performance_Rating])</calculatedColumnFormula>
    </tableColumn>
    <tableColumn id="4" xr3:uid="{B78FCD3C-0351-40C0-B3DA-354AA176D72B}" name="Employee Count">
      <calculatedColumnFormula>COUNTIF(Table1[Department], A2)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workbookViewId="0">
      <selection activeCell="T10" sqref="T10"/>
    </sheetView>
  </sheetViews>
  <sheetFormatPr defaultRowHeight="14.4" x14ac:dyDescent="0.3"/>
  <cols>
    <col min="1" max="1" width="18.6640625" customWidth="1"/>
    <col min="2" max="2" width="18" bestFit="1" customWidth="1"/>
    <col min="3" max="3" width="17.33203125" customWidth="1"/>
    <col min="4" max="4" width="12.77734375" customWidth="1"/>
    <col min="5" max="5" width="10.6640625" customWidth="1"/>
    <col min="6" max="6" width="20.5546875" customWidth="1"/>
    <col min="7" max="7" width="17" customWidth="1"/>
    <col min="8" max="8" width="19.77734375" customWidth="1"/>
    <col min="9" max="9" width="20.21875" customWidth="1"/>
    <col min="10" max="10" width="21.44140625" customWidth="1"/>
    <col min="11" max="11" width="38.44140625" customWidth="1"/>
    <col min="12" max="12" width="23.109375" customWidth="1"/>
    <col min="13" max="13" width="27.5546875" customWidth="1"/>
    <col min="14" max="14" width="21.33203125" customWidth="1"/>
    <col min="15" max="15" width="21.109375" customWidth="1"/>
    <col min="16" max="16" width="16.6640625" customWidth="1"/>
    <col min="17" max="17" width="32.109375" customWidth="1"/>
    <col min="18" max="18" width="26.5546875" customWidth="1"/>
  </cols>
  <sheetData>
    <row r="1" spans="1:18" x14ac:dyDescent="0.3">
      <c r="A1" s="7" t="s">
        <v>0</v>
      </c>
      <c r="B1" s="7" t="s">
        <v>1</v>
      </c>
      <c r="C1" s="7" t="s">
        <v>2</v>
      </c>
      <c r="D1" s="7" t="s">
        <v>3</v>
      </c>
      <c r="E1" s="7" t="s">
        <v>4</v>
      </c>
      <c r="F1" s="7" t="s">
        <v>5</v>
      </c>
      <c r="G1" s="7" t="s">
        <v>6</v>
      </c>
      <c r="H1" s="8" t="s">
        <v>7</v>
      </c>
      <c r="I1" s="7" t="s">
        <v>8</v>
      </c>
      <c r="J1" s="7" t="s">
        <v>9</v>
      </c>
      <c r="K1" s="7" t="s">
        <v>231</v>
      </c>
      <c r="L1" s="7" t="s">
        <v>10</v>
      </c>
      <c r="M1" s="7" t="s">
        <v>229</v>
      </c>
      <c r="N1" s="7" t="s">
        <v>11</v>
      </c>
      <c r="O1" s="7" t="s">
        <v>12</v>
      </c>
      <c r="P1" s="7" t="s">
        <v>13</v>
      </c>
      <c r="Q1" s="7" t="s">
        <v>230</v>
      </c>
      <c r="R1" s="7" t="s">
        <v>14</v>
      </c>
    </row>
    <row r="2" spans="1:18" x14ac:dyDescent="0.3">
      <c r="A2" t="s">
        <v>15</v>
      </c>
      <c r="B2" t="s">
        <v>115</v>
      </c>
      <c r="C2" t="s">
        <v>214</v>
      </c>
      <c r="D2" t="s">
        <v>220</v>
      </c>
      <c r="E2">
        <v>32</v>
      </c>
      <c r="F2" t="s">
        <v>222</v>
      </c>
      <c r="G2" s="2">
        <v>44808</v>
      </c>
      <c r="H2" s="3">
        <v>32562</v>
      </c>
      <c r="I2">
        <v>99.44</v>
      </c>
      <c r="J2">
        <v>6</v>
      </c>
      <c r="K2" t="str">
        <f>IF(J2&gt;=15, "Worked most overtime", "Less overtime")</f>
        <v>Less overtime</v>
      </c>
      <c r="L2">
        <v>5</v>
      </c>
      <c r="M2" t="str" cm="1">
        <f t="array" ref="M2">_xlfn.IFS(L2&gt;=4, "Good", L2 = 3, "Average", L2&lt;=2, "Bad")</f>
        <v>Good</v>
      </c>
      <c r="N2" t="s">
        <v>225</v>
      </c>
      <c r="O2" t="s">
        <v>227</v>
      </c>
      <c r="P2">
        <v>2</v>
      </c>
      <c r="Q2" t="str" cm="1">
        <f t="array" ref="Q2">_xlfn.IFS(P2&gt;=12, "Takes More Leaves", P2&lt;=11, "Takes Less Leaves")</f>
        <v>Takes Less Leaves</v>
      </c>
      <c r="R2">
        <v>11</v>
      </c>
    </row>
    <row r="3" spans="1:18" x14ac:dyDescent="0.3">
      <c r="A3" t="s">
        <v>16</v>
      </c>
      <c r="B3" t="s">
        <v>116</v>
      </c>
      <c r="C3" t="s">
        <v>215</v>
      </c>
      <c r="D3" t="s">
        <v>220</v>
      </c>
      <c r="E3">
        <v>26</v>
      </c>
      <c r="F3" t="s">
        <v>223</v>
      </c>
      <c r="G3" s="2">
        <v>43207</v>
      </c>
      <c r="H3" s="3">
        <v>58853</v>
      </c>
      <c r="I3">
        <v>95.41</v>
      </c>
      <c r="J3">
        <v>10</v>
      </c>
      <c r="K3" t="str">
        <f t="shared" ref="K3:K66" si="0">IF(J3&gt;=15, "Worked most overtime", "Less overtime")</f>
        <v>Less overtime</v>
      </c>
      <c r="L3">
        <v>5</v>
      </c>
      <c r="M3" t="str" cm="1">
        <f t="array" ref="M3">_xlfn.IFS(L3&gt;=4, "Good", L3 = 3, "Average", L3&lt;=2, "Bad")</f>
        <v>Good</v>
      </c>
      <c r="N3" t="s">
        <v>225</v>
      </c>
      <c r="O3" t="s">
        <v>228</v>
      </c>
      <c r="P3">
        <v>4</v>
      </c>
      <c r="Q3" t="str" cm="1">
        <f t="array" ref="Q3">_xlfn.IFS(P3&gt;=12, "Takes More Leaves", P3&lt;=11, "Takes Less Leaves")</f>
        <v>Takes Less Leaves</v>
      </c>
      <c r="R3">
        <v>13</v>
      </c>
    </row>
    <row r="4" spans="1:18" x14ac:dyDescent="0.3">
      <c r="A4" t="s">
        <v>17</v>
      </c>
      <c r="B4" t="s">
        <v>117</v>
      </c>
      <c r="C4" t="s">
        <v>216</v>
      </c>
      <c r="D4" t="s">
        <v>220</v>
      </c>
      <c r="E4">
        <v>54</v>
      </c>
      <c r="F4" t="s">
        <v>223</v>
      </c>
      <c r="G4" s="2">
        <v>44377</v>
      </c>
      <c r="H4" s="3">
        <v>72502</v>
      </c>
      <c r="I4">
        <v>90.3</v>
      </c>
      <c r="J4">
        <v>1</v>
      </c>
      <c r="K4" t="str">
        <f t="shared" si="0"/>
        <v>Less overtime</v>
      </c>
      <c r="L4">
        <v>1</v>
      </c>
      <c r="M4" t="str" cm="1">
        <f t="array" ref="M4">_xlfn.IFS(L4&gt;=4, "Good", L4 = 3, "Average", L4&lt;=2, "Bad")</f>
        <v>Bad</v>
      </c>
      <c r="N4" t="s">
        <v>225</v>
      </c>
      <c r="O4" t="s">
        <v>227</v>
      </c>
      <c r="P4">
        <v>17</v>
      </c>
      <c r="Q4" t="str" cm="1">
        <f t="array" ref="Q4">_xlfn.IFS(P4&gt;=12, "Takes More Leaves", P4&lt;=11, "Takes Less Leaves")</f>
        <v>Takes More Leaves</v>
      </c>
      <c r="R4">
        <v>4</v>
      </c>
    </row>
    <row r="5" spans="1:18" x14ac:dyDescent="0.3">
      <c r="A5" t="s">
        <v>18</v>
      </c>
      <c r="B5" t="s">
        <v>118</v>
      </c>
      <c r="C5" t="s">
        <v>216</v>
      </c>
      <c r="D5" t="s">
        <v>220</v>
      </c>
      <c r="E5">
        <v>44</v>
      </c>
      <c r="F5" t="s">
        <v>224</v>
      </c>
      <c r="G5" s="2">
        <v>45265</v>
      </c>
      <c r="H5" s="3">
        <v>44231</v>
      </c>
      <c r="I5">
        <v>75.040000000000006</v>
      </c>
      <c r="J5">
        <v>22</v>
      </c>
      <c r="K5" t="str">
        <f t="shared" si="0"/>
        <v>Worked most overtime</v>
      </c>
      <c r="L5">
        <v>1</v>
      </c>
      <c r="M5" t="str" cm="1">
        <f t="array" ref="M5">_xlfn.IFS(L5&gt;=4, "Good", L5 = 3, "Average", L5&lt;=2, "Bad")</f>
        <v>Bad</v>
      </c>
      <c r="N5" t="s">
        <v>226</v>
      </c>
      <c r="O5" t="s">
        <v>228</v>
      </c>
      <c r="P5">
        <v>5</v>
      </c>
      <c r="Q5" t="str" cm="1">
        <f t="array" ref="Q5">_xlfn.IFS(P5&gt;=12, "Takes More Leaves", P5&lt;=11, "Takes Less Leaves")</f>
        <v>Takes Less Leaves</v>
      </c>
      <c r="R5">
        <v>14</v>
      </c>
    </row>
    <row r="6" spans="1:18" x14ac:dyDescent="0.3">
      <c r="A6" t="s">
        <v>19</v>
      </c>
      <c r="B6" t="s">
        <v>119</v>
      </c>
      <c r="C6" t="s">
        <v>214</v>
      </c>
      <c r="D6" t="s">
        <v>220</v>
      </c>
      <c r="E6">
        <v>40</v>
      </c>
      <c r="F6" t="s">
        <v>224</v>
      </c>
      <c r="G6" s="2">
        <v>44020</v>
      </c>
      <c r="H6" s="3">
        <v>93431</v>
      </c>
      <c r="I6">
        <v>83.45</v>
      </c>
      <c r="J6">
        <v>16</v>
      </c>
      <c r="K6" t="str">
        <f t="shared" si="0"/>
        <v>Worked most overtime</v>
      </c>
      <c r="L6">
        <v>3</v>
      </c>
      <c r="M6" t="str" cm="1">
        <f t="array" ref="M6">_xlfn.IFS(L6&gt;=4, "Good", L6 = 3, "Average", L6&lt;=2, "Bad")</f>
        <v>Average</v>
      </c>
      <c r="N6" t="s">
        <v>226</v>
      </c>
      <c r="O6" t="s">
        <v>227</v>
      </c>
      <c r="P6">
        <v>3</v>
      </c>
      <c r="Q6" t="str" cm="1">
        <f t="array" ref="Q6">_xlfn.IFS(P6&gt;=12, "Takes More Leaves", P6&lt;=11, "Takes Less Leaves")</f>
        <v>Takes Less Leaves</v>
      </c>
      <c r="R6">
        <v>12</v>
      </c>
    </row>
    <row r="7" spans="1:18" x14ac:dyDescent="0.3">
      <c r="A7" t="s">
        <v>20</v>
      </c>
      <c r="B7" t="s">
        <v>120</v>
      </c>
      <c r="C7" t="s">
        <v>217</v>
      </c>
      <c r="D7" t="s">
        <v>221</v>
      </c>
      <c r="E7">
        <v>30</v>
      </c>
      <c r="F7" t="s">
        <v>223</v>
      </c>
      <c r="G7" s="2">
        <v>42763</v>
      </c>
      <c r="H7" s="3">
        <v>113349</v>
      </c>
      <c r="I7">
        <v>88.36</v>
      </c>
      <c r="J7">
        <v>28</v>
      </c>
      <c r="K7" t="str">
        <f t="shared" si="0"/>
        <v>Worked most overtime</v>
      </c>
      <c r="L7">
        <v>5</v>
      </c>
      <c r="M7" t="str" cm="1">
        <f t="array" ref="M7">_xlfn.IFS(L7&gt;=4, "Good", L7 = 3, "Average", L7&lt;=2, "Bad")</f>
        <v>Good</v>
      </c>
      <c r="N7" t="s">
        <v>225</v>
      </c>
      <c r="O7" t="s">
        <v>227</v>
      </c>
      <c r="P7">
        <v>13</v>
      </c>
      <c r="Q7" t="str" cm="1">
        <f t="array" ref="Q7">_xlfn.IFS(P7&gt;=12, "Takes More Leaves", P7&lt;=11, "Takes Less Leaves")</f>
        <v>Takes More Leaves</v>
      </c>
      <c r="R7">
        <v>10</v>
      </c>
    </row>
    <row r="8" spans="1:18" x14ac:dyDescent="0.3">
      <c r="A8" t="s">
        <v>21</v>
      </c>
      <c r="B8" t="s">
        <v>121</v>
      </c>
      <c r="C8" t="s">
        <v>218</v>
      </c>
      <c r="D8" t="s">
        <v>221</v>
      </c>
      <c r="E8">
        <v>51</v>
      </c>
      <c r="F8" t="s">
        <v>223</v>
      </c>
      <c r="G8" s="2">
        <v>44038</v>
      </c>
      <c r="H8" s="3">
        <v>66358</v>
      </c>
      <c r="I8">
        <v>93.69</v>
      </c>
      <c r="J8">
        <v>16</v>
      </c>
      <c r="K8" t="str">
        <f t="shared" si="0"/>
        <v>Worked most overtime</v>
      </c>
      <c r="L8">
        <v>4</v>
      </c>
      <c r="M8" t="str" cm="1">
        <f t="array" ref="M8">_xlfn.IFS(L8&gt;=4, "Good", L8 = 3, "Average", L8&lt;=2, "Bad")</f>
        <v>Good</v>
      </c>
      <c r="N8" t="s">
        <v>226</v>
      </c>
      <c r="O8" t="s">
        <v>227</v>
      </c>
      <c r="P8">
        <v>2</v>
      </c>
      <c r="Q8" t="str" cm="1">
        <f t="array" ref="Q8">_xlfn.IFS(P8&gt;=12, "Takes More Leaves", P8&lt;=11, "Takes Less Leaves")</f>
        <v>Takes Less Leaves</v>
      </c>
      <c r="R8">
        <v>12</v>
      </c>
    </row>
    <row r="9" spans="1:18" x14ac:dyDescent="0.3">
      <c r="A9" t="s">
        <v>22</v>
      </c>
      <c r="B9" t="s">
        <v>122</v>
      </c>
      <c r="C9" t="s">
        <v>215</v>
      </c>
      <c r="D9" t="s">
        <v>219</v>
      </c>
      <c r="E9">
        <v>43</v>
      </c>
      <c r="F9" t="s">
        <v>222</v>
      </c>
      <c r="G9" s="2">
        <v>45556</v>
      </c>
      <c r="H9" s="3">
        <v>102826</v>
      </c>
      <c r="I9">
        <v>92.64</v>
      </c>
      <c r="J9">
        <v>26</v>
      </c>
      <c r="K9" t="str">
        <f t="shared" si="0"/>
        <v>Worked most overtime</v>
      </c>
      <c r="L9">
        <v>5</v>
      </c>
      <c r="M9" t="str" cm="1">
        <f t="array" ref="M9">_xlfn.IFS(L9&gt;=4, "Good", L9 = 3, "Average", L9&lt;=2, "Bad")</f>
        <v>Good</v>
      </c>
      <c r="N9" t="s">
        <v>225</v>
      </c>
      <c r="O9" t="s">
        <v>228</v>
      </c>
      <c r="P9">
        <v>4</v>
      </c>
      <c r="Q9" t="str" cm="1">
        <f t="array" ref="Q9">_xlfn.IFS(P9&gt;=12, "Takes More Leaves", P9&lt;=11, "Takes Less Leaves")</f>
        <v>Takes Less Leaves</v>
      </c>
      <c r="R9">
        <v>2</v>
      </c>
    </row>
    <row r="10" spans="1:18" x14ac:dyDescent="0.3">
      <c r="A10" t="s">
        <v>23</v>
      </c>
      <c r="B10" t="s">
        <v>123</v>
      </c>
      <c r="C10" t="s">
        <v>214</v>
      </c>
      <c r="D10" t="s">
        <v>221</v>
      </c>
      <c r="E10">
        <v>27</v>
      </c>
      <c r="F10" t="s">
        <v>224</v>
      </c>
      <c r="G10" s="2">
        <v>44190</v>
      </c>
      <c r="H10" s="3">
        <v>81179</v>
      </c>
      <c r="I10">
        <v>95.93</v>
      </c>
      <c r="J10">
        <v>6</v>
      </c>
      <c r="K10" t="str">
        <f t="shared" si="0"/>
        <v>Less overtime</v>
      </c>
      <c r="L10">
        <v>2</v>
      </c>
      <c r="M10" t="str" cm="1">
        <f t="array" ref="M10">_xlfn.IFS(L10&gt;=4, "Good", L10 = 3, "Average", L10&lt;=2, "Bad")</f>
        <v>Bad</v>
      </c>
      <c r="N10" t="s">
        <v>226</v>
      </c>
      <c r="O10" t="s">
        <v>228</v>
      </c>
      <c r="P10">
        <v>10</v>
      </c>
      <c r="Q10" t="str" cm="1">
        <f t="array" ref="Q10">_xlfn.IFS(P10&gt;=12, "Takes More Leaves", P10&lt;=11, "Takes Less Leaves")</f>
        <v>Takes Less Leaves</v>
      </c>
      <c r="R10">
        <v>9</v>
      </c>
    </row>
    <row r="11" spans="1:18" x14ac:dyDescent="0.3">
      <c r="A11" t="s">
        <v>24</v>
      </c>
      <c r="B11" t="s">
        <v>124</v>
      </c>
      <c r="C11" t="s">
        <v>218</v>
      </c>
      <c r="D11" t="s">
        <v>220</v>
      </c>
      <c r="E11">
        <v>40</v>
      </c>
      <c r="F11" t="s">
        <v>222</v>
      </c>
      <c r="G11" s="2">
        <v>43451</v>
      </c>
      <c r="H11" s="3">
        <v>110860</v>
      </c>
      <c r="I11">
        <v>98.04</v>
      </c>
      <c r="J11">
        <v>10</v>
      </c>
      <c r="K11" t="str">
        <f t="shared" si="0"/>
        <v>Less overtime</v>
      </c>
      <c r="L11">
        <v>5</v>
      </c>
      <c r="M11" t="str" cm="1">
        <f t="array" ref="M11">_xlfn.IFS(L11&gt;=4, "Good", L11 = 3, "Average", L11&lt;=2, "Bad")</f>
        <v>Good</v>
      </c>
      <c r="N11" t="s">
        <v>226</v>
      </c>
      <c r="O11" t="s">
        <v>228</v>
      </c>
      <c r="P11">
        <v>18</v>
      </c>
      <c r="Q11" t="str" cm="1">
        <f t="array" ref="Q11">_xlfn.IFS(P11&gt;=12, "Takes More Leaves", P11&lt;=11, "Takes Less Leaves")</f>
        <v>Takes More Leaves</v>
      </c>
      <c r="R11">
        <v>11</v>
      </c>
    </row>
    <row r="12" spans="1:18" x14ac:dyDescent="0.3">
      <c r="A12" t="s">
        <v>25</v>
      </c>
      <c r="B12" t="s">
        <v>125</v>
      </c>
      <c r="C12" t="s">
        <v>217</v>
      </c>
      <c r="D12" t="s">
        <v>221</v>
      </c>
      <c r="E12">
        <v>41</v>
      </c>
      <c r="F12" t="s">
        <v>222</v>
      </c>
      <c r="G12" s="2">
        <v>43717</v>
      </c>
      <c r="H12" s="3">
        <v>96608</v>
      </c>
      <c r="I12">
        <v>85.71</v>
      </c>
      <c r="J12">
        <v>25</v>
      </c>
      <c r="K12" t="str">
        <f t="shared" si="0"/>
        <v>Worked most overtime</v>
      </c>
      <c r="L12">
        <v>4</v>
      </c>
      <c r="M12" t="str" cm="1">
        <f t="array" ref="M12">_xlfn.IFS(L12&gt;=4, "Good", L12 = 3, "Average", L12&lt;=2, "Bad")</f>
        <v>Good</v>
      </c>
      <c r="N12" t="s">
        <v>226</v>
      </c>
      <c r="O12" t="s">
        <v>227</v>
      </c>
      <c r="P12">
        <v>19</v>
      </c>
      <c r="Q12" t="str" cm="1">
        <f t="array" ref="Q12">_xlfn.IFS(P12&gt;=12, "Takes More Leaves", P12&lt;=11, "Takes Less Leaves")</f>
        <v>Takes More Leaves</v>
      </c>
      <c r="R12">
        <v>1</v>
      </c>
    </row>
    <row r="13" spans="1:18" x14ac:dyDescent="0.3">
      <c r="A13" t="s">
        <v>26</v>
      </c>
      <c r="B13" t="s">
        <v>126</v>
      </c>
      <c r="C13" t="s">
        <v>218</v>
      </c>
      <c r="D13" t="s">
        <v>221</v>
      </c>
      <c r="E13">
        <v>46</v>
      </c>
      <c r="F13" t="s">
        <v>224</v>
      </c>
      <c r="G13" s="2">
        <v>43361</v>
      </c>
      <c r="H13" s="3">
        <v>110479</v>
      </c>
      <c r="I13">
        <v>95.83</v>
      </c>
      <c r="J13">
        <v>15</v>
      </c>
      <c r="K13" t="str">
        <f t="shared" si="0"/>
        <v>Worked most overtime</v>
      </c>
      <c r="L13">
        <v>5</v>
      </c>
      <c r="M13" t="str" cm="1">
        <f t="array" ref="M13">_xlfn.IFS(L13&gt;=4, "Good", L13 = 3, "Average", L13&lt;=2, "Bad")</f>
        <v>Good</v>
      </c>
      <c r="N13" t="s">
        <v>226</v>
      </c>
      <c r="O13" t="s">
        <v>227</v>
      </c>
      <c r="P13">
        <v>17</v>
      </c>
      <c r="Q13" t="str" cm="1">
        <f t="array" ref="Q13">_xlfn.IFS(P13&gt;=12, "Takes More Leaves", P13&lt;=11, "Takes Less Leaves")</f>
        <v>Takes More Leaves</v>
      </c>
      <c r="R13">
        <v>1</v>
      </c>
    </row>
    <row r="14" spans="1:18" x14ac:dyDescent="0.3">
      <c r="A14" t="s">
        <v>27</v>
      </c>
      <c r="B14" t="s">
        <v>127</v>
      </c>
      <c r="C14" t="s">
        <v>214</v>
      </c>
      <c r="D14" t="s">
        <v>220</v>
      </c>
      <c r="E14">
        <v>28</v>
      </c>
      <c r="F14" t="s">
        <v>224</v>
      </c>
      <c r="G14" s="2">
        <v>44049</v>
      </c>
      <c r="H14" s="3">
        <v>34991</v>
      </c>
      <c r="I14">
        <v>87.28</v>
      </c>
      <c r="J14">
        <v>17</v>
      </c>
      <c r="K14" t="str">
        <f t="shared" si="0"/>
        <v>Worked most overtime</v>
      </c>
      <c r="L14">
        <v>1</v>
      </c>
      <c r="M14" t="str" cm="1">
        <f t="array" ref="M14">_xlfn.IFS(L14&gt;=4, "Good", L14 = 3, "Average", L14&lt;=2, "Bad")</f>
        <v>Bad</v>
      </c>
      <c r="N14" t="s">
        <v>225</v>
      </c>
      <c r="O14" t="s">
        <v>227</v>
      </c>
      <c r="P14">
        <v>7</v>
      </c>
      <c r="Q14" t="str" cm="1">
        <f t="array" ref="Q14">_xlfn.IFS(P14&gt;=12, "Takes More Leaves", P14&lt;=11, "Takes Less Leaves")</f>
        <v>Takes Less Leaves</v>
      </c>
      <c r="R14">
        <v>13</v>
      </c>
    </row>
    <row r="15" spans="1:18" x14ac:dyDescent="0.3">
      <c r="A15" t="s">
        <v>28</v>
      </c>
      <c r="B15" t="s">
        <v>128</v>
      </c>
      <c r="C15" t="s">
        <v>214</v>
      </c>
      <c r="D15" t="s">
        <v>220</v>
      </c>
      <c r="E15">
        <v>53</v>
      </c>
      <c r="F15" t="s">
        <v>224</v>
      </c>
      <c r="G15" s="2">
        <v>44188</v>
      </c>
      <c r="H15" s="3">
        <v>67038</v>
      </c>
      <c r="I15">
        <v>97.37</v>
      </c>
      <c r="J15">
        <v>19</v>
      </c>
      <c r="K15" t="str">
        <f t="shared" si="0"/>
        <v>Worked most overtime</v>
      </c>
      <c r="L15">
        <v>3</v>
      </c>
      <c r="M15" t="str" cm="1">
        <f t="array" ref="M15">_xlfn.IFS(L15&gt;=4, "Good", L15 = 3, "Average", L15&lt;=2, "Bad")</f>
        <v>Average</v>
      </c>
      <c r="N15" t="s">
        <v>225</v>
      </c>
      <c r="O15" t="s">
        <v>227</v>
      </c>
      <c r="P15">
        <v>2</v>
      </c>
      <c r="Q15" t="str" cm="1">
        <f t="array" ref="Q15">_xlfn.IFS(P15&gt;=12, "Takes More Leaves", P15&lt;=11, "Takes Less Leaves")</f>
        <v>Takes Less Leaves</v>
      </c>
      <c r="R15">
        <v>1</v>
      </c>
    </row>
    <row r="16" spans="1:18" x14ac:dyDescent="0.3">
      <c r="A16" t="s">
        <v>29</v>
      </c>
      <c r="B16" t="s">
        <v>129</v>
      </c>
      <c r="C16" t="s">
        <v>214</v>
      </c>
      <c r="D16" t="s">
        <v>220</v>
      </c>
      <c r="E16">
        <v>28</v>
      </c>
      <c r="F16" t="s">
        <v>222</v>
      </c>
      <c r="G16" s="2">
        <v>43851</v>
      </c>
      <c r="H16" s="3">
        <v>63815</v>
      </c>
      <c r="I16">
        <v>72.61</v>
      </c>
      <c r="J16">
        <v>28</v>
      </c>
      <c r="K16" t="str">
        <f t="shared" si="0"/>
        <v>Worked most overtime</v>
      </c>
      <c r="L16">
        <v>4</v>
      </c>
      <c r="M16" t="str" cm="1">
        <f t="array" ref="M16">_xlfn.IFS(L16&gt;=4, "Good", L16 = 3, "Average", L16&lt;=2, "Bad")</f>
        <v>Good</v>
      </c>
      <c r="N16" t="s">
        <v>226</v>
      </c>
      <c r="O16" t="s">
        <v>228</v>
      </c>
      <c r="P16">
        <v>2</v>
      </c>
      <c r="Q16" t="str" cm="1">
        <f t="array" ref="Q16">_xlfn.IFS(P16&gt;=12, "Takes More Leaves", P16&lt;=11, "Takes Less Leaves")</f>
        <v>Takes Less Leaves</v>
      </c>
      <c r="R16">
        <v>13</v>
      </c>
    </row>
    <row r="17" spans="1:18" x14ac:dyDescent="0.3">
      <c r="A17" t="s">
        <v>30</v>
      </c>
      <c r="B17" t="s">
        <v>130</v>
      </c>
      <c r="C17" t="s">
        <v>215</v>
      </c>
      <c r="D17" t="s">
        <v>220</v>
      </c>
      <c r="E17">
        <v>47</v>
      </c>
      <c r="F17" t="s">
        <v>223</v>
      </c>
      <c r="G17" s="2">
        <v>44154</v>
      </c>
      <c r="H17" s="3">
        <v>37509</v>
      </c>
      <c r="I17">
        <v>84.72</v>
      </c>
      <c r="J17">
        <v>27</v>
      </c>
      <c r="K17" t="str">
        <f t="shared" si="0"/>
        <v>Worked most overtime</v>
      </c>
      <c r="L17">
        <v>2</v>
      </c>
      <c r="M17" t="str" cm="1">
        <f t="array" ref="M17">_xlfn.IFS(L17&gt;=4, "Good", L17 = 3, "Average", L17&lt;=2, "Bad")</f>
        <v>Bad</v>
      </c>
      <c r="N17" t="s">
        <v>225</v>
      </c>
      <c r="O17" t="s">
        <v>228</v>
      </c>
      <c r="P17">
        <v>3</v>
      </c>
      <c r="Q17" t="str" cm="1">
        <f t="array" ref="Q17">_xlfn.IFS(P17&gt;=12, "Takes More Leaves", P17&lt;=11, "Takes Less Leaves")</f>
        <v>Takes Less Leaves</v>
      </c>
      <c r="R17">
        <v>4</v>
      </c>
    </row>
    <row r="18" spans="1:18" x14ac:dyDescent="0.3">
      <c r="A18" t="s">
        <v>31</v>
      </c>
      <c r="B18" t="s">
        <v>131</v>
      </c>
      <c r="C18" t="s">
        <v>217</v>
      </c>
      <c r="D18" t="s">
        <v>219</v>
      </c>
      <c r="E18">
        <v>44</v>
      </c>
      <c r="F18" t="s">
        <v>222</v>
      </c>
      <c r="G18" s="2">
        <v>43489</v>
      </c>
      <c r="H18" s="3">
        <v>59762</v>
      </c>
      <c r="I18">
        <v>82.76</v>
      </c>
      <c r="J18">
        <v>14</v>
      </c>
      <c r="K18" t="str">
        <f t="shared" si="0"/>
        <v>Less overtime</v>
      </c>
      <c r="L18">
        <v>1</v>
      </c>
      <c r="M18" t="str" cm="1">
        <f t="array" ref="M18">_xlfn.IFS(L18&gt;=4, "Good", L18 = 3, "Average", L18&lt;=2, "Bad")</f>
        <v>Bad</v>
      </c>
      <c r="N18" t="s">
        <v>226</v>
      </c>
      <c r="O18" t="s">
        <v>228</v>
      </c>
      <c r="P18">
        <v>14</v>
      </c>
      <c r="Q18" t="str" cm="1">
        <f t="array" ref="Q18">_xlfn.IFS(P18&gt;=12, "Takes More Leaves", P18&lt;=11, "Takes Less Leaves")</f>
        <v>Takes More Leaves</v>
      </c>
      <c r="R18">
        <v>9</v>
      </c>
    </row>
    <row r="19" spans="1:18" x14ac:dyDescent="0.3">
      <c r="A19" t="s">
        <v>32</v>
      </c>
      <c r="B19" t="s">
        <v>132</v>
      </c>
      <c r="C19" t="s">
        <v>214</v>
      </c>
      <c r="D19" t="s">
        <v>220</v>
      </c>
      <c r="E19">
        <v>40</v>
      </c>
      <c r="F19" t="s">
        <v>223</v>
      </c>
      <c r="G19" s="2">
        <v>43304</v>
      </c>
      <c r="H19" s="3">
        <v>65228</v>
      </c>
      <c r="I19">
        <v>94.89</v>
      </c>
      <c r="J19">
        <v>2</v>
      </c>
      <c r="K19" t="str">
        <f t="shared" si="0"/>
        <v>Less overtime</v>
      </c>
      <c r="L19">
        <v>3</v>
      </c>
      <c r="M19" t="str" cm="1">
        <f t="array" ref="M19">_xlfn.IFS(L19&gt;=4, "Good", L19 = 3, "Average", L19&lt;=2, "Bad")</f>
        <v>Average</v>
      </c>
      <c r="N19" t="s">
        <v>225</v>
      </c>
      <c r="O19" t="s">
        <v>228</v>
      </c>
      <c r="P19">
        <v>10</v>
      </c>
      <c r="Q19" t="str" cm="1">
        <f t="array" ref="Q19">_xlfn.IFS(P19&gt;=12, "Takes More Leaves", P19&lt;=11, "Takes Less Leaves")</f>
        <v>Takes Less Leaves</v>
      </c>
      <c r="R19">
        <v>1</v>
      </c>
    </row>
    <row r="20" spans="1:18" x14ac:dyDescent="0.3">
      <c r="A20" t="s">
        <v>33</v>
      </c>
      <c r="B20" t="s">
        <v>133</v>
      </c>
      <c r="C20" t="s">
        <v>215</v>
      </c>
      <c r="D20" t="s">
        <v>221</v>
      </c>
      <c r="E20">
        <v>25</v>
      </c>
      <c r="F20" t="s">
        <v>224</v>
      </c>
      <c r="G20" s="2">
        <v>45568</v>
      </c>
      <c r="H20" s="3">
        <v>106173</v>
      </c>
      <c r="I20">
        <v>90.77</v>
      </c>
      <c r="J20">
        <v>13</v>
      </c>
      <c r="K20" t="str">
        <f t="shared" si="0"/>
        <v>Less overtime</v>
      </c>
      <c r="L20">
        <v>1</v>
      </c>
      <c r="M20" t="str" cm="1">
        <f t="array" ref="M20">_xlfn.IFS(L20&gt;=4, "Good", L20 = 3, "Average", L20&lt;=2, "Bad")</f>
        <v>Bad</v>
      </c>
      <c r="N20" t="s">
        <v>225</v>
      </c>
      <c r="O20" t="s">
        <v>227</v>
      </c>
      <c r="P20">
        <v>4</v>
      </c>
      <c r="Q20" t="str" cm="1">
        <f t="array" ref="Q20">_xlfn.IFS(P20&gt;=12, "Takes More Leaves", P20&lt;=11, "Takes Less Leaves")</f>
        <v>Takes Less Leaves</v>
      </c>
      <c r="R20">
        <v>0</v>
      </c>
    </row>
    <row r="21" spans="1:18" x14ac:dyDescent="0.3">
      <c r="A21" t="s">
        <v>34</v>
      </c>
      <c r="B21" t="s">
        <v>134</v>
      </c>
      <c r="C21" t="s">
        <v>215</v>
      </c>
      <c r="D21" t="s">
        <v>221</v>
      </c>
      <c r="E21">
        <v>44</v>
      </c>
      <c r="F21" t="s">
        <v>224</v>
      </c>
      <c r="G21" s="2">
        <v>43743</v>
      </c>
      <c r="H21" s="3">
        <v>74350</v>
      </c>
      <c r="I21">
        <v>84.15</v>
      </c>
      <c r="J21">
        <v>19</v>
      </c>
      <c r="K21" t="str">
        <f t="shared" si="0"/>
        <v>Worked most overtime</v>
      </c>
      <c r="L21">
        <v>4</v>
      </c>
      <c r="M21" t="str" cm="1">
        <f t="array" ref="M21">_xlfn.IFS(L21&gt;=4, "Good", L21 = 3, "Average", L21&lt;=2, "Bad")</f>
        <v>Good</v>
      </c>
      <c r="N21" t="s">
        <v>226</v>
      </c>
      <c r="O21" t="s">
        <v>228</v>
      </c>
      <c r="P21">
        <v>16</v>
      </c>
      <c r="Q21" t="str" cm="1">
        <f t="array" ref="Q21">_xlfn.IFS(P21&gt;=12, "Takes More Leaves", P21&lt;=11, "Takes Less Leaves")</f>
        <v>Takes More Leaves</v>
      </c>
      <c r="R21">
        <v>6</v>
      </c>
    </row>
    <row r="22" spans="1:18" x14ac:dyDescent="0.3">
      <c r="A22" t="s">
        <v>35</v>
      </c>
      <c r="B22" t="s">
        <v>135</v>
      </c>
      <c r="C22" t="s">
        <v>216</v>
      </c>
      <c r="D22" t="s">
        <v>220</v>
      </c>
      <c r="E22">
        <v>43</v>
      </c>
      <c r="F22" t="s">
        <v>222</v>
      </c>
      <c r="G22" s="2">
        <v>43530</v>
      </c>
      <c r="H22" s="3">
        <v>60630</v>
      </c>
      <c r="I22">
        <v>85.84</v>
      </c>
      <c r="J22">
        <v>13</v>
      </c>
      <c r="K22" t="str">
        <f t="shared" si="0"/>
        <v>Less overtime</v>
      </c>
      <c r="L22">
        <v>4</v>
      </c>
      <c r="M22" t="str" cm="1">
        <f t="array" ref="M22">_xlfn.IFS(L22&gt;=4, "Good", L22 = 3, "Average", L22&lt;=2, "Bad")</f>
        <v>Good</v>
      </c>
      <c r="N22" t="s">
        <v>225</v>
      </c>
      <c r="O22" t="s">
        <v>228</v>
      </c>
      <c r="P22">
        <v>17</v>
      </c>
      <c r="Q22" t="str" cm="1">
        <f t="array" ref="Q22">_xlfn.IFS(P22&gt;=12, "Takes More Leaves", P22&lt;=11, "Takes Less Leaves")</f>
        <v>Takes More Leaves</v>
      </c>
      <c r="R22">
        <v>11</v>
      </c>
    </row>
    <row r="23" spans="1:18" x14ac:dyDescent="0.3">
      <c r="A23" t="s">
        <v>36</v>
      </c>
      <c r="B23" t="s">
        <v>136</v>
      </c>
      <c r="C23" t="s">
        <v>214</v>
      </c>
      <c r="D23" t="s">
        <v>221</v>
      </c>
      <c r="E23">
        <v>55</v>
      </c>
      <c r="F23" t="s">
        <v>222</v>
      </c>
      <c r="G23" s="2">
        <v>43689</v>
      </c>
      <c r="H23" s="3">
        <v>53392</v>
      </c>
      <c r="I23">
        <v>99.08</v>
      </c>
      <c r="J23">
        <v>18</v>
      </c>
      <c r="K23" t="str">
        <f t="shared" si="0"/>
        <v>Worked most overtime</v>
      </c>
      <c r="L23">
        <v>5</v>
      </c>
      <c r="M23" t="str" cm="1">
        <f t="array" ref="M23">_xlfn.IFS(L23&gt;=4, "Good", L23 = 3, "Average", L23&lt;=2, "Bad")</f>
        <v>Good</v>
      </c>
      <c r="N23" t="s">
        <v>225</v>
      </c>
      <c r="O23" t="s">
        <v>228</v>
      </c>
      <c r="P23">
        <v>0</v>
      </c>
      <c r="Q23" t="str" cm="1">
        <f t="array" ref="Q23">_xlfn.IFS(P23&gt;=12, "Takes More Leaves", P23&lt;=11, "Takes Less Leaves")</f>
        <v>Takes Less Leaves</v>
      </c>
      <c r="R23">
        <v>15</v>
      </c>
    </row>
    <row r="24" spans="1:18" x14ac:dyDescent="0.3">
      <c r="A24" t="s">
        <v>37</v>
      </c>
      <c r="B24" t="s">
        <v>137</v>
      </c>
      <c r="C24" t="s">
        <v>215</v>
      </c>
      <c r="D24" t="s">
        <v>219</v>
      </c>
      <c r="E24">
        <v>39</v>
      </c>
      <c r="F24" t="s">
        <v>224</v>
      </c>
      <c r="G24" s="2">
        <v>44521</v>
      </c>
      <c r="H24" s="3">
        <v>97588</v>
      </c>
      <c r="I24">
        <v>90.58</v>
      </c>
      <c r="J24">
        <v>0</v>
      </c>
      <c r="K24" t="str">
        <f t="shared" si="0"/>
        <v>Less overtime</v>
      </c>
      <c r="L24">
        <v>4</v>
      </c>
      <c r="M24" t="str" cm="1">
        <f t="array" ref="M24">_xlfn.IFS(L24&gt;=4, "Good", L24 = 3, "Average", L24&lt;=2, "Bad")</f>
        <v>Good</v>
      </c>
      <c r="N24" t="s">
        <v>225</v>
      </c>
      <c r="O24" t="s">
        <v>228</v>
      </c>
      <c r="P24">
        <v>19</v>
      </c>
      <c r="Q24" t="str" cm="1">
        <f t="array" ref="Q24">_xlfn.IFS(P24&gt;=12, "Takes More Leaves", P24&lt;=11, "Takes Less Leaves")</f>
        <v>Takes More Leaves</v>
      </c>
      <c r="R24">
        <v>0</v>
      </c>
    </row>
    <row r="25" spans="1:18" x14ac:dyDescent="0.3">
      <c r="A25" t="s">
        <v>38</v>
      </c>
      <c r="B25" t="s">
        <v>138</v>
      </c>
      <c r="C25" t="s">
        <v>217</v>
      </c>
      <c r="D25" t="s">
        <v>221</v>
      </c>
      <c r="E25">
        <v>53</v>
      </c>
      <c r="F25" t="s">
        <v>222</v>
      </c>
      <c r="G25" s="2">
        <v>44014</v>
      </c>
      <c r="H25" s="3">
        <v>92426</v>
      </c>
      <c r="I25">
        <v>74.069999999999993</v>
      </c>
      <c r="J25">
        <v>13</v>
      </c>
      <c r="K25" t="str">
        <f t="shared" si="0"/>
        <v>Less overtime</v>
      </c>
      <c r="L25">
        <v>1</v>
      </c>
      <c r="M25" t="str" cm="1">
        <f t="array" ref="M25">_xlfn.IFS(L25&gt;=4, "Good", L25 = 3, "Average", L25&lt;=2, "Bad")</f>
        <v>Bad</v>
      </c>
      <c r="N25" t="s">
        <v>226</v>
      </c>
      <c r="O25" t="s">
        <v>228</v>
      </c>
      <c r="P25">
        <v>10</v>
      </c>
      <c r="Q25" t="str" cm="1">
        <f t="array" ref="Q25">_xlfn.IFS(P25&gt;=12, "Takes More Leaves", P25&lt;=11, "Takes Less Leaves")</f>
        <v>Takes Less Leaves</v>
      </c>
      <c r="R25">
        <v>10</v>
      </c>
    </row>
    <row r="26" spans="1:18" x14ac:dyDescent="0.3">
      <c r="A26" t="s">
        <v>39</v>
      </c>
      <c r="B26" t="s">
        <v>139</v>
      </c>
      <c r="C26" t="s">
        <v>217</v>
      </c>
      <c r="D26" t="s">
        <v>221</v>
      </c>
      <c r="E26">
        <v>53</v>
      </c>
      <c r="F26" t="s">
        <v>223</v>
      </c>
      <c r="G26" s="2">
        <v>43635</v>
      </c>
      <c r="H26" s="3">
        <v>83432</v>
      </c>
      <c r="I26">
        <v>76.53</v>
      </c>
      <c r="J26">
        <v>6</v>
      </c>
      <c r="K26" t="str">
        <f t="shared" si="0"/>
        <v>Less overtime</v>
      </c>
      <c r="L26">
        <v>3</v>
      </c>
      <c r="M26" t="str" cm="1">
        <f t="array" ref="M26">_xlfn.IFS(L26&gt;=4, "Good", L26 = 3, "Average", L26&lt;=2, "Bad")</f>
        <v>Average</v>
      </c>
      <c r="N26" t="s">
        <v>226</v>
      </c>
      <c r="O26" t="s">
        <v>227</v>
      </c>
      <c r="P26">
        <v>9</v>
      </c>
      <c r="Q26" t="str" cm="1">
        <f t="array" ref="Q26">_xlfn.IFS(P26&gt;=12, "Takes More Leaves", P26&lt;=11, "Takes Less Leaves")</f>
        <v>Takes Less Leaves</v>
      </c>
      <c r="R26">
        <v>11</v>
      </c>
    </row>
    <row r="27" spans="1:18" x14ac:dyDescent="0.3">
      <c r="A27" t="s">
        <v>40</v>
      </c>
      <c r="B27" t="s">
        <v>140</v>
      </c>
      <c r="C27" t="s">
        <v>218</v>
      </c>
      <c r="D27" t="s">
        <v>220</v>
      </c>
      <c r="E27">
        <v>30</v>
      </c>
      <c r="F27" t="s">
        <v>223</v>
      </c>
      <c r="G27" s="2">
        <v>44395</v>
      </c>
      <c r="H27" s="3">
        <v>81985</v>
      </c>
      <c r="I27">
        <v>84.54</v>
      </c>
      <c r="J27">
        <v>1</v>
      </c>
      <c r="K27" t="str">
        <f t="shared" si="0"/>
        <v>Less overtime</v>
      </c>
      <c r="L27">
        <v>1</v>
      </c>
      <c r="M27" t="str" cm="1">
        <f t="array" ref="M27">_xlfn.IFS(L27&gt;=4, "Good", L27 = 3, "Average", L27&lt;=2, "Bad")</f>
        <v>Bad</v>
      </c>
      <c r="N27" t="s">
        <v>226</v>
      </c>
      <c r="O27" t="s">
        <v>227</v>
      </c>
      <c r="P27">
        <v>10</v>
      </c>
      <c r="Q27" t="str" cm="1">
        <f t="array" ref="Q27">_xlfn.IFS(P27&gt;=12, "Takes More Leaves", P27&lt;=11, "Takes Less Leaves")</f>
        <v>Takes Less Leaves</v>
      </c>
      <c r="R27">
        <v>3</v>
      </c>
    </row>
    <row r="28" spans="1:18" x14ac:dyDescent="0.3">
      <c r="A28" t="s">
        <v>41</v>
      </c>
      <c r="B28" t="s">
        <v>141</v>
      </c>
      <c r="C28" t="s">
        <v>218</v>
      </c>
      <c r="D28" t="s">
        <v>221</v>
      </c>
      <c r="E28">
        <v>22</v>
      </c>
      <c r="F28" t="s">
        <v>224</v>
      </c>
      <c r="G28" s="2">
        <v>45172</v>
      </c>
      <c r="H28" s="3">
        <v>111185</v>
      </c>
      <c r="I28">
        <v>79.39</v>
      </c>
      <c r="J28">
        <v>5</v>
      </c>
      <c r="K28" t="str">
        <f t="shared" si="0"/>
        <v>Less overtime</v>
      </c>
      <c r="L28">
        <v>2</v>
      </c>
      <c r="M28" t="str" cm="1">
        <f t="array" ref="M28">_xlfn.IFS(L28&gt;=4, "Good", L28 = 3, "Average", L28&lt;=2, "Bad")</f>
        <v>Bad</v>
      </c>
      <c r="N28" t="s">
        <v>226</v>
      </c>
      <c r="O28" t="s">
        <v>228</v>
      </c>
      <c r="P28">
        <v>13</v>
      </c>
      <c r="Q28" t="str" cm="1">
        <f t="array" ref="Q28">_xlfn.IFS(P28&gt;=12, "Takes More Leaves", P28&lt;=11, "Takes Less Leaves")</f>
        <v>Takes More Leaves</v>
      </c>
      <c r="R28">
        <v>7</v>
      </c>
    </row>
    <row r="29" spans="1:18" x14ac:dyDescent="0.3">
      <c r="A29" t="s">
        <v>42</v>
      </c>
      <c r="B29" t="s">
        <v>142</v>
      </c>
      <c r="C29" t="s">
        <v>214</v>
      </c>
      <c r="D29" t="s">
        <v>221</v>
      </c>
      <c r="E29">
        <v>30</v>
      </c>
      <c r="F29" t="s">
        <v>223</v>
      </c>
      <c r="G29" s="2">
        <v>43889</v>
      </c>
      <c r="H29" s="3">
        <v>87004</v>
      </c>
      <c r="I29">
        <v>75.900000000000006</v>
      </c>
      <c r="J29">
        <v>24</v>
      </c>
      <c r="K29" t="str">
        <f t="shared" si="0"/>
        <v>Worked most overtime</v>
      </c>
      <c r="L29">
        <v>4</v>
      </c>
      <c r="M29" t="str" cm="1">
        <f t="array" ref="M29">_xlfn.IFS(L29&gt;=4, "Good", L29 = 3, "Average", L29&lt;=2, "Bad")</f>
        <v>Good</v>
      </c>
      <c r="N29" t="s">
        <v>225</v>
      </c>
      <c r="O29" t="s">
        <v>228</v>
      </c>
      <c r="P29">
        <v>13</v>
      </c>
      <c r="Q29" t="str" cm="1">
        <f t="array" ref="Q29">_xlfn.IFS(P29&gt;=12, "Takes More Leaves", P29&lt;=11, "Takes Less Leaves")</f>
        <v>Takes More Leaves</v>
      </c>
      <c r="R29">
        <v>8</v>
      </c>
    </row>
    <row r="30" spans="1:18" x14ac:dyDescent="0.3">
      <c r="A30" t="s">
        <v>43</v>
      </c>
      <c r="B30" t="s">
        <v>143</v>
      </c>
      <c r="C30" t="s">
        <v>217</v>
      </c>
      <c r="D30" t="s">
        <v>221</v>
      </c>
      <c r="E30">
        <v>46</v>
      </c>
      <c r="F30" t="s">
        <v>224</v>
      </c>
      <c r="G30" s="2">
        <v>44121</v>
      </c>
      <c r="H30" s="3">
        <v>54538</v>
      </c>
      <c r="I30">
        <v>88.38</v>
      </c>
      <c r="J30">
        <v>20</v>
      </c>
      <c r="K30" t="str">
        <f t="shared" si="0"/>
        <v>Worked most overtime</v>
      </c>
      <c r="L30">
        <v>4</v>
      </c>
      <c r="M30" t="str" cm="1">
        <f t="array" ref="M30">_xlfn.IFS(L30&gt;=4, "Good", L30 = 3, "Average", L30&lt;=2, "Bad")</f>
        <v>Good</v>
      </c>
      <c r="N30" t="s">
        <v>226</v>
      </c>
      <c r="O30" t="s">
        <v>227</v>
      </c>
      <c r="P30">
        <v>8</v>
      </c>
      <c r="Q30" t="str" cm="1">
        <f t="array" ref="Q30">_xlfn.IFS(P30&gt;=12, "Takes More Leaves", P30&lt;=11, "Takes Less Leaves")</f>
        <v>Takes Less Leaves</v>
      </c>
      <c r="R30">
        <v>4</v>
      </c>
    </row>
    <row r="31" spans="1:18" x14ac:dyDescent="0.3">
      <c r="A31" t="s">
        <v>44</v>
      </c>
      <c r="B31" t="s">
        <v>144</v>
      </c>
      <c r="C31" t="s">
        <v>218</v>
      </c>
      <c r="D31" t="s">
        <v>221</v>
      </c>
      <c r="E31">
        <v>45</v>
      </c>
      <c r="F31" t="s">
        <v>224</v>
      </c>
      <c r="G31" s="2">
        <v>45388</v>
      </c>
      <c r="H31" s="3">
        <v>55522</v>
      </c>
      <c r="I31">
        <v>78.760000000000005</v>
      </c>
      <c r="J31">
        <v>30</v>
      </c>
      <c r="K31" t="str">
        <f t="shared" si="0"/>
        <v>Worked most overtime</v>
      </c>
      <c r="L31">
        <v>5</v>
      </c>
      <c r="M31" t="str" cm="1">
        <f t="array" ref="M31">_xlfn.IFS(L31&gt;=4, "Good", L31 = 3, "Average", L31&lt;=2, "Bad")</f>
        <v>Good</v>
      </c>
      <c r="N31" t="s">
        <v>225</v>
      </c>
      <c r="O31" t="s">
        <v>227</v>
      </c>
      <c r="P31">
        <v>2</v>
      </c>
      <c r="Q31" t="str" cm="1">
        <f t="array" ref="Q31">_xlfn.IFS(P31&gt;=12, "Takes More Leaves", P31&lt;=11, "Takes Less Leaves")</f>
        <v>Takes Less Leaves</v>
      </c>
      <c r="R31">
        <v>10</v>
      </c>
    </row>
    <row r="32" spans="1:18" x14ac:dyDescent="0.3">
      <c r="A32" t="s">
        <v>45</v>
      </c>
      <c r="B32" t="s">
        <v>145</v>
      </c>
      <c r="C32" t="s">
        <v>218</v>
      </c>
      <c r="D32" t="s">
        <v>221</v>
      </c>
      <c r="E32">
        <v>41</v>
      </c>
      <c r="F32" t="s">
        <v>223</v>
      </c>
      <c r="G32" s="2">
        <v>44271</v>
      </c>
      <c r="H32" s="3">
        <v>39908</v>
      </c>
      <c r="I32">
        <v>97.08</v>
      </c>
      <c r="J32">
        <v>13</v>
      </c>
      <c r="K32" t="str">
        <f t="shared" si="0"/>
        <v>Less overtime</v>
      </c>
      <c r="L32">
        <v>2</v>
      </c>
      <c r="M32" t="str" cm="1">
        <f t="array" ref="M32">_xlfn.IFS(L32&gt;=4, "Good", L32 = 3, "Average", L32&lt;=2, "Bad")</f>
        <v>Bad</v>
      </c>
      <c r="N32" t="s">
        <v>225</v>
      </c>
      <c r="O32" t="s">
        <v>227</v>
      </c>
      <c r="P32">
        <v>8</v>
      </c>
      <c r="Q32" t="str" cm="1">
        <f t="array" ref="Q32">_xlfn.IFS(P32&gt;=12, "Takes More Leaves", P32&lt;=11, "Takes Less Leaves")</f>
        <v>Takes Less Leaves</v>
      </c>
      <c r="R32">
        <v>15</v>
      </c>
    </row>
    <row r="33" spans="1:18" x14ac:dyDescent="0.3">
      <c r="A33" t="s">
        <v>46</v>
      </c>
      <c r="B33" t="s">
        <v>146</v>
      </c>
      <c r="C33" t="s">
        <v>218</v>
      </c>
      <c r="D33" t="s">
        <v>221</v>
      </c>
      <c r="E33">
        <v>24</v>
      </c>
      <c r="F33" t="s">
        <v>223</v>
      </c>
      <c r="G33" s="2">
        <v>44019</v>
      </c>
      <c r="H33" s="3">
        <v>100795</v>
      </c>
      <c r="I33">
        <v>71.83</v>
      </c>
      <c r="J33">
        <v>15</v>
      </c>
      <c r="K33" t="str">
        <f t="shared" si="0"/>
        <v>Worked most overtime</v>
      </c>
      <c r="L33">
        <v>2</v>
      </c>
      <c r="M33" t="str" cm="1">
        <f t="array" ref="M33">_xlfn.IFS(L33&gt;=4, "Good", L33 = 3, "Average", L33&lt;=2, "Bad")</f>
        <v>Bad</v>
      </c>
      <c r="N33" t="s">
        <v>226</v>
      </c>
      <c r="O33" t="s">
        <v>228</v>
      </c>
      <c r="P33">
        <v>7</v>
      </c>
      <c r="Q33" t="str" cm="1">
        <f t="array" ref="Q33">_xlfn.IFS(P33&gt;=12, "Takes More Leaves", P33&lt;=11, "Takes Less Leaves")</f>
        <v>Takes Less Leaves</v>
      </c>
      <c r="R33">
        <v>1</v>
      </c>
    </row>
    <row r="34" spans="1:18" x14ac:dyDescent="0.3">
      <c r="A34" t="s">
        <v>47</v>
      </c>
      <c r="B34" t="s">
        <v>147</v>
      </c>
      <c r="C34" t="s">
        <v>214</v>
      </c>
      <c r="D34" t="s">
        <v>219</v>
      </c>
      <c r="E34">
        <v>37</v>
      </c>
      <c r="F34" t="s">
        <v>224</v>
      </c>
      <c r="G34" s="2">
        <v>42731</v>
      </c>
      <c r="H34" s="3">
        <v>84433</v>
      </c>
      <c r="I34">
        <v>91.12</v>
      </c>
      <c r="J34">
        <v>30</v>
      </c>
      <c r="K34" t="str">
        <f t="shared" si="0"/>
        <v>Worked most overtime</v>
      </c>
      <c r="L34">
        <v>4</v>
      </c>
      <c r="M34" t="str" cm="1">
        <f t="array" ref="M34">_xlfn.IFS(L34&gt;=4, "Good", L34 = 3, "Average", L34&lt;=2, "Bad")</f>
        <v>Good</v>
      </c>
      <c r="N34" t="s">
        <v>225</v>
      </c>
      <c r="O34" t="s">
        <v>228</v>
      </c>
      <c r="P34">
        <v>1</v>
      </c>
      <c r="Q34" t="str" cm="1">
        <f t="array" ref="Q34">_xlfn.IFS(P34&gt;=12, "Takes More Leaves", P34&lt;=11, "Takes Less Leaves")</f>
        <v>Takes Less Leaves</v>
      </c>
      <c r="R34">
        <v>5</v>
      </c>
    </row>
    <row r="35" spans="1:18" x14ac:dyDescent="0.3">
      <c r="A35" t="s">
        <v>48</v>
      </c>
      <c r="B35" t="s">
        <v>148</v>
      </c>
      <c r="C35" t="s">
        <v>216</v>
      </c>
      <c r="D35" t="s">
        <v>221</v>
      </c>
      <c r="E35">
        <v>51</v>
      </c>
      <c r="F35" t="s">
        <v>224</v>
      </c>
      <c r="G35" s="2">
        <v>42577</v>
      </c>
      <c r="H35" s="3">
        <v>79936</v>
      </c>
      <c r="I35">
        <v>72.08</v>
      </c>
      <c r="J35">
        <v>22</v>
      </c>
      <c r="K35" t="str">
        <f t="shared" si="0"/>
        <v>Worked most overtime</v>
      </c>
      <c r="L35">
        <v>5</v>
      </c>
      <c r="M35" t="str" cm="1">
        <f t="array" ref="M35">_xlfn.IFS(L35&gt;=4, "Good", L35 = 3, "Average", L35&lt;=2, "Bad")</f>
        <v>Good</v>
      </c>
      <c r="N35" t="s">
        <v>225</v>
      </c>
      <c r="O35" t="s">
        <v>228</v>
      </c>
      <c r="P35">
        <v>19</v>
      </c>
      <c r="Q35" t="str" cm="1">
        <f t="array" ref="Q35">_xlfn.IFS(P35&gt;=12, "Takes More Leaves", P35&lt;=11, "Takes Less Leaves")</f>
        <v>Takes More Leaves</v>
      </c>
      <c r="R35">
        <v>12</v>
      </c>
    </row>
    <row r="36" spans="1:18" x14ac:dyDescent="0.3">
      <c r="A36" t="s">
        <v>49</v>
      </c>
      <c r="B36" t="s">
        <v>149</v>
      </c>
      <c r="C36" t="s">
        <v>216</v>
      </c>
      <c r="D36" t="s">
        <v>220</v>
      </c>
      <c r="E36">
        <v>30</v>
      </c>
      <c r="F36" t="s">
        <v>223</v>
      </c>
      <c r="G36" s="2">
        <v>42468</v>
      </c>
      <c r="H36" s="3">
        <v>66849</v>
      </c>
      <c r="I36">
        <v>73.5</v>
      </c>
      <c r="J36">
        <v>18</v>
      </c>
      <c r="K36" t="str">
        <f t="shared" si="0"/>
        <v>Worked most overtime</v>
      </c>
      <c r="L36">
        <v>3</v>
      </c>
      <c r="M36" t="str" cm="1">
        <f t="array" ref="M36">_xlfn.IFS(L36&gt;=4, "Good", L36 = 3, "Average", L36&lt;=2, "Bad")</f>
        <v>Average</v>
      </c>
      <c r="N36" t="s">
        <v>225</v>
      </c>
      <c r="O36" t="s">
        <v>228</v>
      </c>
      <c r="P36">
        <v>18</v>
      </c>
      <c r="Q36" t="str" cm="1">
        <f t="array" ref="Q36">_xlfn.IFS(P36&gt;=12, "Takes More Leaves", P36&lt;=11, "Takes Less Leaves")</f>
        <v>Takes More Leaves</v>
      </c>
      <c r="R36">
        <v>12</v>
      </c>
    </row>
    <row r="37" spans="1:18" x14ac:dyDescent="0.3">
      <c r="A37" t="s">
        <v>50</v>
      </c>
      <c r="B37" t="s">
        <v>150</v>
      </c>
      <c r="C37" t="s">
        <v>216</v>
      </c>
      <c r="D37" t="s">
        <v>221</v>
      </c>
      <c r="E37">
        <v>43</v>
      </c>
      <c r="F37" t="s">
        <v>223</v>
      </c>
      <c r="G37" s="2">
        <v>44977</v>
      </c>
      <c r="H37" s="3">
        <v>97399</v>
      </c>
      <c r="I37">
        <v>86.8</v>
      </c>
      <c r="J37">
        <v>9</v>
      </c>
      <c r="K37" t="str">
        <f t="shared" si="0"/>
        <v>Less overtime</v>
      </c>
      <c r="L37">
        <v>3</v>
      </c>
      <c r="M37" t="str" cm="1">
        <f t="array" ref="M37">_xlfn.IFS(L37&gt;=4, "Good", L37 = 3, "Average", L37&lt;=2, "Bad")</f>
        <v>Average</v>
      </c>
      <c r="N37" t="s">
        <v>225</v>
      </c>
      <c r="O37" t="s">
        <v>228</v>
      </c>
      <c r="P37">
        <v>9</v>
      </c>
      <c r="Q37" t="str" cm="1">
        <f t="array" ref="Q37">_xlfn.IFS(P37&gt;=12, "Takes More Leaves", P37&lt;=11, "Takes Less Leaves")</f>
        <v>Takes Less Leaves</v>
      </c>
      <c r="R37">
        <v>10</v>
      </c>
    </row>
    <row r="38" spans="1:18" x14ac:dyDescent="0.3">
      <c r="A38" t="s">
        <v>51</v>
      </c>
      <c r="B38" t="s">
        <v>151</v>
      </c>
      <c r="C38" t="s">
        <v>214</v>
      </c>
      <c r="D38" t="s">
        <v>220</v>
      </c>
      <c r="E38">
        <v>39</v>
      </c>
      <c r="F38" t="s">
        <v>222</v>
      </c>
      <c r="G38" s="2">
        <v>45381</v>
      </c>
      <c r="H38" s="3">
        <v>98476</v>
      </c>
      <c r="I38">
        <v>97.56</v>
      </c>
      <c r="J38">
        <v>27</v>
      </c>
      <c r="K38" t="str">
        <f t="shared" si="0"/>
        <v>Worked most overtime</v>
      </c>
      <c r="L38">
        <v>5</v>
      </c>
      <c r="M38" t="str" cm="1">
        <f t="array" ref="M38">_xlfn.IFS(L38&gt;=4, "Good", L38 = 3, "Average", L38&lt;=2, "Bad")</f>
        <v>Good</v>
      </c>
      <c r="N38" t="s">
        <v>226</v>
      </c>
      <c r="O38" t="s">
        <v>228</v>
      </c>
      <c r="P38">
        <v>6</v>
      </c>
      <c r="Q38" t="str" cm="1">
        <f t="array" ref="Q38">_xlfn.IFS(P38&gt;=12, "Takes More Leaves", P38&lt;=11, "Takes Less Leaves")</f>
        <v>Takes Less Leaves</v>
      </c>
      <c r="R38">
        <v>9</v>
      </c>
    </row>
    <row r="39" spans="1:18" x14ac:dyDescent="0.3">
      <c r="A39" t="s">
        <v>52</v>
      </c>
      <c r="B39" t="s">
        <v>152</v>
      </c>
      <c r="C39" t="s">
        <v>216</v>
      </c>
      <c r="D39" t="s">
        <v>220</v>
      </c>
      <c r="E39">
        <v>51</v>
      </c>
      <c r="F39" t="s">
        <v>222</v>
      </c>
      <c r="G39" s="2">
        <v>45304</v>
      </c>
      <c r="H39" s="3">
        <v>111843</v>
      </c>
      <c r="I39">
        <v>99.12</v>
      </c>
      <c r="J39">
        <v>16</v>
      </c>
      <c r="K39" t="str">
        <f t="shared" si="0"/>
        <v>Worked most overtime</v>
      </c>
      <c r="L39">
        <v>1</v>
      </c>
      <c r="M39" t="str" cm="1">
        <f t="array" ref="M39">_xlfn.IFS(L39&gt;=4, "Good", L39 = 3, "Average", L39&lt;=2, "Bad")</f>
        <v>Bad</v>
      </c>
      <c r="N39" t="s">
        <v>226</v>
      </c>
      <c r="O39" t="s">
        <v>228</v>
      </c>
      <c r="P39">
        <v>2</v>
      </c>
      <c r="Q39" t="str" cm="1">
        <f t="array" ref="Q39">_xlfn.IFS(P39&gt;=12, "Takes More Leaves", P39&lt;=11, "Takes Less Leaves")</f>
        <v>Takes Less Leaves</v>
      </c>
      <c r="R39">
        <v>0</v>
      </c>
    </row>
    <row r="40" spans="1:18" x14ac:dyDescent="0.3">
      <c r="A40" t="s">
        <v>53</v>
      </c>
      <c r="B40" t="s">
        <v>153</v>
      </c>
      <c r="C40" t="s">
        <v>216</v>
      </c>
      <c r="D40" t="s">
        <v>221</v>
      </c>
      <c r="E40">
        <v>33</v>
      </c>
      <c r="F40" t="s">
        <v>224</v>
      </c>
      <c r="G40" s="2">
        <v>43719</v>
      </c>
      <c r="H40" s="3">
        <v>71087</v>
      </c>
      <c r="I40">
        <v>75.819999999999993</v>
      </c>
      <c r="J40">
        <v>11</v>
      </c>
      <c r="K40" t="str">
        <f t="shared" si="0"/>
        <v>Less overtime</v>
      </c>
      <c r="L40">
        <v>5</v>
      </c>
      <c r="M40" t="str" cm="1">
        <f t="array" ref="M40">_xlfn.IFS(L40&gt;=4, "Good", L40 = 3, "Average", L40&lt;=2, "Bad")</f>
        <v>Good</v>
      </c>
      <c r="N40" t="s">
        <v>226</v>
      </c>
      <c r="O40" t="s">
        <v>228</v>
      </c>
      <c r="P40">
        <v>18</v>
      </c>
      <c r="Q40" t="str" cm="1">
        <f t="array" ref="Q40">_xlfn.IFS(P40&gt;=12, "Takes More Leaves", P40&lt;=11, "Takes Less Leaves")</f>
        <v>Takes More Leaves</v>
      </c>
      <c r="R40">
        <v>0</v>
      </c>
    </row>
    <row r="41" spans="1:18" x14ac:dyDescent="0.3">
      <c r="A41" t="s">
        <v>54</v>
      </c>
      <c r="B41" t="s">
        <v>154</v>
      </c>
      <c r="C41" t="s">
        <v>218</v>
      </c>
      <c r="D41" t="s">
        <v>221</v>
      </c>
      <c r="E41">
        <v>22</v>
      </c>
      <c r="F41" t="s">
        <v>224</v>
      </c>
      <c r="G41" s="2">
        <v>43949</v>
      </c>
      <c r="H41" s="3">
        <v>109627</v>
      </c>
      <c r="I41">
        <v>95.97</v>
      </c>
      <c r="J41">
        <v>19</v>
      </c>
      <c r="K41" t="str">
        <f t="shared" si="0"/>
        <v>Worked most overtime</v>
      </c>
      <c r="L41">
        <v>2</v>
      </c>
      <c r="M41" t="str" cm="1">
        <f t="array" ref="M41">_xlfn.IFS(L41&gt;=4, "Good", L41 = 3, "Average", L41&lt;=2, "Bad")</f>
        <v>Bad</v>
      </c>
      <c r="N41" t="s">
        <v>226</v>
      </c>
      <c r="O41" t="s">
        <v>228</v>
      </c>
      <c r="P41">
        <v>9</v>
      </c>
      <c r="Q41" t="str" cm="1">
        <f t="array" ref="Q41">_xlfn.IFS(P41&gt;=12, "Takes More Leaves", P41&lt;=11, "Takes Less Leaves")</f>
        <v>Takes Less Leaves</v>
      </c>
      <c r="R41">
        <v>8</v>
      </c>
    </row>
    <row r="42" spans="1:18" x14ac:dyDescent="0.3">
      <c r="A42" t="s">
        <v>55</v>
      </c>
      <c r="B42" t="s">
        <v>151</v>
      </c>
      <c r="C42" t="s">
        <v>218</v>
      </c>
      <c r="D42" t="s">
        <v>220</v>
      </c>
      <c r="E42">
        <v>50</v>
      </c>
      <c r="F42" t="s">
        <v>224</v>
      </c>
      <c r="G42" s="2">
        <v>44472</v>
      </c>
      <c r="H42" s="3">
        <v>69568</v>
      </c>
      <c r="I42">
        <v>92.83</v>
      </c>
      <c r="J42">
        <v>22</v>
      </c>
      <c r="K42" t="str">
        <f t="shared" si="0"/>
        <v>Worked most overtime</v>
      </c>
      <c r="L42">
        <v>3</v>
      </c>
      <c r="M42" t="str" cm="1">
        <f t="array" ref="M42">_xlfn.IFS(L42&gt;=4, "Good", L42 = 3, "Average", L42&lt;=2, "Bad")</f>
        <v>Average</v>
      </c>
      <c r="N42" t="s">
        <v>226</v>
      </c>
      <c r="O42" t="s">
        <v>227</v>
      </c>
      <c r="P42">
        <v>7</v>
      </c>
      <c r="Q42" t="str" cm="1">
        <f t="array" ref="Q42">_xlfn.IFS(P42&gt;=12, "Takes More Leaves", P42&lt;=11, "Takes Less Leaves")</f>
        <v>Takes Less Leaves</v>
      </c>
      <c r="R42">
        <v>12</v>
      </c>
    </row>
    <row r="43" spans="1:18" x14ac:dyDescent="0.3">
      <c r="A43" t="s">
        <v>56</v>
      </c>
      <c r="B43" t="s">
        <v>155</v>
      </c>
      <c r="C43" t="s">
        <v>216</v>
      </c>
      <c r="D43" t="s">
        <v>219</v>
      </c>
      <c r="E43">
        <v>55</v>
      </c>
      <c r="F43" t="s">
        <v>224</v>
      </c>
      <c r="G43" s="2">
        <v>43075</v>
      </c>
      <c r="H43" s="3">
        <v>39532</v>
      </c>
      <c r="I43">
        <v>90.97</v>
      </c>
      <c r="J43">
        <v>29</v>
      </c>
      <c r="K43" t="str">
        <f t="shared" si="0"/>
        <v>Worked most overtime</v>
      </c>
      <c r="L43">
        <v>3</v>
      </c>
      <c r="M43" t="str" cm="1">
        <f t="array" ref="M43">_xlfn.IFS(L43&gt;=4, "Good", L43 = 3, "Average", L43&lt;=2, "Bad")</f>
        <v>Average</v>
      </c>
      <c r="N43" t="s">
        <v>226</v>
      </c>
      <c r="O43" t="s">
        <v>227</v>
      </c>
      <c r="P43">
        <v>2</v>
      </c>
      <c r="Q43" t="str" cm="1">
        <f t="array" ref="Q43">_xlfn.IFS(P43&gt;=12, "Takes More Leaves", P43&lt;=11, "Takes Less Leaves")</f>
        <v>Takes Less Leaves</v>
      </c>
      <c r="R43">
        <v>14</v>
      </c>
    </row>
    <row r="44" spans="1:18" x14ac:dyDescent="0.3">
      <c r="A44" t="s">
        <v>57</v>
      </c>
      <c r="B44" t="s">
        <v>156</v>
      </c>
      <c r="C44" t="s">
        <v>215</v>
      </c>
      <c r="D44" t="s">
        <v>221</v>
      </c>
      <c r="E44">
        <v>25</v>
      </c>
      <c r="F44" t="s">
        <v>224</v>
      </c>
      <c r="G44" s="2">
        <v>44081</v>
      </c>
      <c r="H44" s="3">
        <v>38434</v>
      </c>
      <c r="I44">
        <v>80.569999999999993</v>
      </c>
      <c r="J44">
        <v>6</v>
      </c>
      <c r="K44" t="str">
        <f t="shared" si="0"/>
        <v>Less overtime</v>
      </c>
      <c r="L44">
        <v>3</v>
      </c>
      <c r="M44" t="str" cm="1">
        <f t="array" ref="M44">_xlfn.IFS(L44&gt;=4, "Good", L44 = 3, "Average", L44&lt;=2, "Bad")</f>
        <v>Average</v>
      </c>
      <c r="N44" t="s">
        <v>226</v>
      </c>
      <c r="O44" t="s">
        <v>228</v>
      </c>
      <c r="P44">
        <v>14</v>
      </c>
      <c r="Q44" t="str" cm="1">
        <f t="array" ref="Q44">_xlfn.IFS(P44&gt;=12, "Takes More Leaves", P44&lt;=11, "Takes Less Leaves")</f>
        <v>Takes More Leaves</v>
      </c>
      <c r="R44">
        <v>4</v>
      </c>
    </row>
    <row r="45" spans="1:18" x14ac:dyDescent="0.3">
      <c r="A45" t="s">
        <v>58</v>
      </c>
      <c r="B45" t="s">
        <v>157</v>
      </c>
      <c r="C45" t="s">
        <v>214</v>
      </c>
      <c r="D45" t="s">
        <v>219</v>
      </c>
      <c r="E45">
        <v>29</v>
      </c>
      <c r="F45" t="s">
        <v>223</v>
      </c>
      <c r="G45" s="2">
        <v>45420</v>
      </c>
      <c r="H45" s="3">
        <v>102650</v>
      </c>
      <c r="I45">
        <v>73.489999999999995</v>
      </c>
      <c r="J45">
        <v>12</v>
      </c>
      <c r="K45" t="str">
        <f t="shared" si="0"/>
        <v>Less overtime</v>
      </c>
      <c r="L45">
        <v>1</v>
      </c>
      <c r="M45" t="str" cm="1">
        <f t="array" ref="M45">_xlfn.IFS(L45&gt;=4, "Good", L45 = 3, "Average", L45&lt;=2, "Bad")</f>
        <v>Bad</v>
      </c>
      <c r="N45" t="s">
        <v>225</v>
      </c>
      <c r="O45" t="s">
        <v>227</v>
      </c>
      <c r="P45">
        <v>7</v>
      </c>
      <c r="Q45" t="str" cm="1">
        <f t="array" ref="Q45">_xlfn.IFS(P45&gt;=12, "Takes More Leaves", P45&lt;=11, "Takes Less Leaves")</f>
        <v>Takes Less Leaves</v>
      </c>
      <c r="R45">
        <v>12</v>
      </c>
    </row>
    <row r="46" spans="1:18" x14ac:dyDescent="0.3">
      <c r="A46" t="s">
        <v>59</v>
      </c>
      <c r="B46" t="s">
        <v>158</v>
      </c>
      <c r="C46" t="s">
        <v>214</v>
      </c>
      <c r="D46" t="s">
        <v>221</v>
      </c>
      <c r="E46">
        <v>52</v>
      </c>
      <c r="F46" t="s">
        <v>222</v>
      </c>
      <c r="G46" s="2">
        <v>44666</v>
      </c>
      <c r="H46" s="3">
        <v>53787</v>
      </c>
      <c r="I46">
        <v>71.989999999999995</v>
      </c>
      <c r="J46">
        <v>16</v>
      </c>
      <c r="K46" t="str">
        <f t="shared" si="0"/>
        <v>Worked most overtime</v>
      </c>
      <c r="L46">
        <v>5</v>
      </c>
      <c r="M46" t="str" cm="1">
        <f t="array" ref="M46">_xlfn.IFS(L46&gt;=4, "Good", L46 = 3, "Average", L46&lt;=2, "Bad")</f>
        <v>Good</v>
      </c>
      <c r="N46" t="s">
        <v>225</v>
      </c>
      <c r="O46" t="s">
        <v>228</v>
      </c>
      <c r="P46">
        <v>17</v>
      </c>
      <c r="Q46" t="str" cm="1">
        <f t="array" ref="Q46">_xlfn.IFS(P46&gt;=12, "Takes More Leaves", P46&lt;=11, "Takes Less Leaves")</f>
        <v>Takes More Leaves</v>
      </c>
      <c r="R46">
        <v>3</v>
      </c>
    </row>
    <row r="47" spans="1:18" x14ac:dyDescent="0.3">
      <c r="A47" t="s">
        <v>60</v>
      </c>
      <c r="B47" t="s">
        <v>159</v>
      </c>
      <c r="C47" t="s">
        <v>216</v>
      </c>
      <c r="D47" t="s">
        <v>220</v>
      </c>
      <c r="E47">
        <v>48</v>
      </c>
      <c r="F47" t="s">
        <v>222</v>
      </c>
      <c r="G47" s="2">
        <v>43820</v>
      </c>
      <c r="H47" s="3">
        <v>99581</v>
      </c>
      <c r="I47">
        <v>89.54</v>
      </c>
      <c r="J47">
        <v>11</v>
      </c>
      <c r="K47" t="str">
        <f t="shared" si="0"/>
        <v>Less overtime</v>
      </c>
      <c r="L47">
        <v>3</v>
      </c>
      <c r="M47" t="str" cm="1">
        <f t="array" ref="M47">_xlfn.IFS(L47&gt;=4, "Good", L47 = 3, "Average", L47&lt;=2, "Bad")</f>
        <v>Average</v>
      </c>
      <c r="N47" t="s">
        <v>225</v>
      </c>
      <c r="O47" t="s">
        <v>228</v>
      </c>
      <c r="P47">
        <v>9</v>
      </c>
      <c r="Q47" t="str" cm="1">
        <f t="array" ref="Q47">_xlfn.IFS(P47&gt;=12, "Takes More Leaves", P47&lt;=11, "Takes Less Leaves")</f>
        <v>Takes Less Leaves</v>
      </c>
      <c r="R47">
        <v>0</v>
      </c>
    </row>
    <row r="48" spans="1:18" x14ac:dyDescent="0.3">
      <c r="A48" t="s">
        <v>61</v>
      </c>
      <c r="B48" t="s">
        <v>160</v>
      </c>
      <c r="C48" t="s">
        <v>218</v>
      </c>
      <c r="D48" t="s">
        <v>219</v>
      </c>
      <c r="E48">
        <v>31</v>
      </c>
      <c r="F48" t="s">
        <v>223</v>
      </c>
      <c r="G48" s="2">
        <v>44447</v>
      </c>
      <c r="H48" s="3">
        <v>78463</v>
      </c>
      <c r="I48">
        <v>77.33</v>
      </c>
      <c r="J48">
        <v>1</v>
      </c>
      <c r="K48" t="str">
        <f t="shared" si="0"/>
        <v>Less overtime</v>
      </c>
      <c r="L48">
        <v>1</v>
      </c>
      <c r="M48" t="str" cm="1">
        <f t="array" ref="M48">_xlfn.IFS(L48&gt;=4, "Good", L48 = 3, "Average", L48&lt;=2, "Bad")</f>
        <v>Bad</v>
      </c>
      <c r="N48" t="s">
        <v>226</v>
      </c>
      <c r="O48" t="s">
        <v>227</v>
      </c>
      <c r="P48">
        <v>6</v>
      </c>
      <c r="Q48" t="str" cm="1">
        <f t="array" ref="Q48">_xlfn.IFS(P48&gt;=12, "Takes More Leaves", P48&lt;=11, "Takes Less Leaves")</f>
        <v>Takes Less Leaves</v>
      </c>
      <c r="R48">
        <v>11</v>
      </c>
    </row>
    <row r="49" spans="1:18" x14ac:dyDescent="0.3">
      <c r="A49" t="s">
        <v>62</v>
      </c>
      <c r="B49" t="s">
        <v>161</v>
      </c>
      <c r="C49" t="s">
        <v>218</v>
      </c>
      <c r="D49" t="s">
        <v>220</v>
      </c>
      <c r="E49">
        <v>43</v>
      </c>
      <c r="F49" t="s">
        <v>222</v>
      </c>
      <c r="G49" s="2">
        <v>42809</v>
      </c>
      <c r="H49" s="3">
        <v>88656</v>
      </c>
      <c r="I49">
        <v>85.64</v>
      </c>
      <c r="J49">
        <v>0</v>
      </c>
      <c r="K49" t="str">
        <f t="shared" si="0"/>
        <v>Less overtime</v>
      </c>
      <c r="L49">
        <v>4</v>
      </c>
      <c r="M49" t="str" cm="1">
        <f t="array" ref="M49">_xlfn.IFS(L49&gt;=4, "Good", L49 = 3, "Average", L49&lt;=2, "Bad")</f>
        <v>Good</v>
      </c>
      <c r="N49" t="s">
        <v>226</v>
      </c>
      <c r="O49" t="s">
        <v>228</v>
      </c>
      <c r="P49">
        <v>6</v>
      </c>
      <c r="Q49" t="str" cm="1">
        <f t="array" ref="Q49">_xlfn.IFS(P49&gt;=12, "Takes More Leaves", P49&lt;=11, "Takes Less Leaves")</f>
        <v>Takes Less Leaves</v>
      </c>
      <c r="R49">
        <v>11</v>
      </c>
    </row>
    <row r="50" spans="1:18" x14ac:dyDescent="0.3">
      <c r="A50" t="s">
        <v>63</v>
      </c>
      <c r="B50" t="s">
        <v>162</v>
      </c>
      <c r="C50" t="s">
        <v>216</v>
      </c>
      <c r="D50" t="s">
        <v>221</v>
      </c>
      <c r="E50">
        <v>37</v>
      </c>
      <c r="F50" t="s">
        <v>224</v>
      </c>
      <c r="G50" s="2">
        <v>45137</v>
      </c>
      <c r="H50" s="3">
        <v>99648</v>
      </c>
      <c r="I50">
        <v>81.099999999999994</v>
      </c>
      <c r="J50">
        <v>2</v>
      </c>
      <c r="K50" t="str">
        <f t="shared" si="0"/>
        <v>Less overtime</v>
      </c>
      <c r="L50">
        <v>2</v>
      </c>
      <c r="M50" t="str" cm="1">
        <f t="array" ref="M50">_xlfn.IFS(L50&gt;=4, "Good", L50 = 3, "Average", L50&lt;=2, "Bad")</f>
        <v>Bad</v>
      </c>
      <c r="N50" t="s">
        <v>226</v>
      </c>
      <c r="O50" t="s">
        <v>227</v>
      </c>
      <c r="P50">
        <v>12</v>
      </c>
      <c r="Q50" t="str" cm="1">
        <f t="array" ref="Q50">_xlfn.IFS(P50&gt;=12, "Takes More Leaves", P50&lt;=11, "Takes Less Leaves")</f>
        <v>Takes More Leaves</v>
      </c>
      <c r="R50">
        <v>4</v>
      </c>
    </row>
    <row r="51" spans="1:18" x14ac:dyDescent="0.3">
      <c r="A51" t="s">
        <v>64</v>
      </c>
      <c r="B51" t="s">
        <v>163</v>
      </c>
      <c r="C51" t="s">
        <v>217</v>
      </c>
      <c r="D51" t="s">
        <v>219</v>
      </c>
      <c r="E51">
        <v>44</v>
      </c>
      <c r="F51" t="s">
        <v>222</v>
      </c>
      <c r="G51" s="2">
        <v>44213</v>
      </c>
      <c r="H51" s="3">
        <v>32798</v>
      </c>
      <c r="I51">
        <v>99.95</v>
      </c>
      <c r="J51">
        <v>16</v>
      </c>
      <c r="K51" t="str">
        <f t="shared" si="0"/>
        <v>Worked most overtime</v>
      </c>
      <c r="L51">
        <v>1</v>
      </c>
      <c r="M51" t="str" cm="1">
        <f t="array" ref="M51">_xlfn.IFS(L51&gt;=4, "Good", L51 = 3, "Average", L51&lt;=2, "Bad")</f>
        <v>Bad</v>
      </c>
      <c r="N51" t="s">
        <v>225</v>
      </c>
      <c r="O51" t="s">
        <v>228</v>
      </c>
      <c r="P51">
        <v>6</v>
      </c>
      <c r="Q51" t="str" cm="1">
        <f t="array" ref="Q51">_xlfn.IFS(P51&gt;=12, "Takes More Leaves", P51&lt;=11, "Takes Less Leaves")</f>
        <v>Takes Less Leaves</v>
      </c>
      <c r="R51">
        <v>6</v>
      </c>
    </row>
    <row r="52" spans="1:18" x14ac:dyDescent="0.3">
      <c r="A52" t="s">
        <v>65</v>
      </c>
      <c r="B52" t="s">
        <v>164</v>
      </c>
      <c r="C52" t="s">
        <v>214</v>
      </c>
      <c r="D52" t="s">
        <v>221</v>
      </c>
      <c r="E52">
        <v>31</v>
      </c>
      <c r="F52" t="s">
        <v>224</v>
      </c>
      <c r="G52" s="2">
        <v>45292</v>
      </c>
      <c r="H52" s="3">
        <v>89861</v>
      </c>
      <c r="I52">
        <v>70.66</v>
      </c>
      <c r="J52">
        <v>29</v>
      </c>
      <c r="K52" t="str">
        <f t="shared" si="0"/>
        <v>Worked most overtime</v>
      </c>
      <c r="L52">
        <v>1</v>
      </c>
      <c r="M52" t="str" cm="1">
        <f t="array" ref="M52">_xlfn.IFS(L52&gt;=4, "Good", L52 = 3, "Average", L52&lt;=2, "Bad")</f>
        <v>Bad</v>
      </c>
      <c r="N52" t="s">
        <v>225</v>
      </c>
      <c r="O52" t="s">
        <v>228</v>
      </c>
      <c r="P52">
        <v>6</v>
      </c>
      <c r="Q52" t="str" cm="1">
        <f t="array" ref="Q52">_xlfn.IFS(P52&gt;=12, "Takes More Leaves", P52&lt;=11, "Takes Less Leaves")</f>
        <v>Takes Less Leaves</v>
      </c>
      <c r="R52">
        <v>5</v>
      </c>
    </row>
    <row r="53" spans="1:18" x14ac:dyDescent="0.3">
      <c r="A53" t="s">
        <v>66</v>
      </c>
      <c r="B53" t="s">
        <v>165</v>
      </c>
      <c r="C53" t="s">
        <v>215</v>
      </c>
      <c r="D53" t="s">
        <v>221</v>
      </c>
      <c r="E53">
        <v>39</v>
      </c>
      <c r="F53" t="s">
        <v>222</v>
      </c>
      <c r="G53" s="2">
        <v>43235</v>
      </c>
      <c r="H53" s="3">
        <v>37607</v>
      </c>
      <c r="I53">
        <v>94.6</v>
      </c>
      <c r="J53">
        <v>28</v>
      </c>
      <c r="K53" t="str">
        <f t="shared" si="0"/>
        <v>Worked most overtime</v>
      </c>
      <c r="L53">
        <v>3</v>
      </c>
      <c r="M53" t="str" cm="1">
        <f t="array" ref="M53">_xlfn.IFS(L53&gt;=4, "Good", L53 = 3, "Average", L53&lt;=2, "Bad")</f>
        <v>Average</v>
      </c>
      <c r="N53" t="s">
        <v>225</v>
      </c>
      <c r="O53" t="s">
        <v>227</v>
      </c>
      <c r="P53">
        <v>14</v>
      </c>
      <c r="Q53" t="str" cm="1">
        <f t="array" ref="Q53">_xlfn.IFS(P53&gt;=12, "Takes More Leaves", P53&lt;=11, "Takes Less Leaves")</f>
        <v>Takes More Leaves</v>
      </c>
      <c r="R53">
        <v>12</v>
      </c>
    </row>
    <row r="54" spans="1:18" x14ac:dyDescent="0.3">
      <c r="A54" t="s">
        <v>67</v>
      </c>
      <c r="B54" t="s">
        <v>166</v>
      </c>
      <c r="C54" t="s">
        <v>217</v>
      </c>
      <c r="D54" t="s">
        <v>220</v>
      </c>
      <c r="E54">
        <v>39</v>
      </c>
      <c r="F54" t="s">
        <v>223</v>
      </c>
      <c r="G54" s="2">
        <v>42308</v>
      </c>
      <c r="H54" s="3">
        <v>115558</v>
      </c>
      <c r="I54">
        <v>98.5</v>
      </c>
      <c r="J54">
        <v>5</v>
      </c>
      <c r="K54" t="str">
        <f t="shared" si="0"/>
        <v>Less overtime</v>
      </c>
      <c r="L54">
        <v>4</v>
      </c>
      <c r="M54" t="str" cm="1">
        <f t="array" ref="M54">_xlfn.IFS(L54&gt;=4, "Good", L54 = 3, "Average", L54&lt;=2, "Bad")</f>
        <v>Good</v>
      </c>
      <c r="N54" t="s">
        <v>226</v>
      </c>
      <c r="O54" t="s">
        <v>228</v>
      </c>
      <c r="P54">
        <v>14</v>
      </c>
      <c r="Q54" t="str" cm="1">
        <f t="array" ref="Q54">_xlfn.IFS(P54&gt;=12, "Takes More Leaves", P54&lt;=11, "Takes Less Leaves")</f>
        <v>Takes More Leaves</v>
      </c>
      <c r="R54">
        <v>12</v>
      </c>
    </row>
    <row r="55" spans="1:18" x14ac:dyDescent="0.3">
      <c r="A55" t="s">
        <v>68</v>
      </c>
      <c r="B55" t="s">
        <v>167</v>
      </c>
      <c r="C55" t="s">
        <v>214</v>
      </c>
      <c r="D55" t="s">
        <v>221</v>
      </c>
      <c r="E55">
        <v>50</v>
      </c>
      <c r="F55" t="s">
        <v>224</v>
      </c>
      <c r="G55" s="2">
        <v>45354</v>
      </c>
      <c r="H55" s="3">
        <v>67139</v>
      </c>
      <c r="I55">
        <v>70.8</v>
      </c>
      <c r="J55">
        <v>7</v>
      </c>
      <c r="K55" t="str">
        <f t="shared" si="0"/>
        <v>Less overtime</v>
      </c>
      <c r="L55">
        <v>2</v>
      </c>
      <c r="M55" t="str" cm="1">
        <f t="array" ref="M55">_xlfn.IFS(L55&gt;=4, "Good", L55 = 3, "Average", L55&lt;=2, "Bad")</f>
        <v>Bad</v>
      </c>
      <c r="N55" t="s">
        <v>225</v>
      </c>
      <c r="O55" t="s">
        <v>228</v>
      </c>
      <c r="P55">
        <v>3</v>
      </c>
      <c r="Q55" t="str" cm="1">
        <f t="array" ref="Q55">_xlfn.IFS(P55&gt;=12, "Takes More Leaves", P55&lt;=11, "Takes Less Leaves")</f>
        <v>Takes Less Leaves</v>
      </c>
      <c r="R55">
        <v>7</v>
      </c>
    </row>
    <row r="56" spans="1:18" x14ac:dyDescent="0.3">
      <c r="A56" t="s">
        <v>69</v>
      </c>
      <c r="B56" t="s">
        <v>168</v>
      </c>
      <c r="C56" t="s">
        <v>216</v>
      </c>
      <c r="D56" t="s">
        <v>220</v>
      </c>
      <c r="E56">
        <v>43</v>
      </c>
      <c r="F56" t="s">
        <v>222</v>
      </c>
      <c r="G56" s="2">
        <v>43306</v>
      </c>
      <c r="H56" s="3">
        <v>38926</v>
      </c>
      <c r="I56">
        <v>71.94</v>
      </c>
      <c r="J56">
        <v>22</v>
      </c>
      <c r="K56" t="str">
        <f t="shared" si="0"/>
        <v>Worked most overtime</v>
      </c>
      <c r="L56">
        <v>4</v>
      </c>
      <c r="M56" t="str" cm="1">
        <f t="array" ref="M56">_xlfn.IFS(L56&gt;=4, "Good", L56 = 3, "Average", L56&lt;=2, "Bad")</f>
        <v>Good</v>
      </c>
      <c r="N56" t="s">
        <v>226</v>
      </c>
      <c r="O56" t="s">
        <v>228</v>
      </c>
      <c r="P56">
        <v>19</v>
      </c>
      <c r="Q56" t="str" cm="1">
        <f t="array" ref="Q56">_xlfn.IFS(P56&gt;=12, "Takes More Leaves", P56&lt;=11, "Takes Less Leaves")</f>
        <v>Takes More Leaves</v>
      </c>
      <c r="R56">
        <v>11</v>
      </c>
    </row>
    <row r="57" spans="1:18" x14ac:dyDescent="0.3">
      <c r="A57" t="s">
        <v>70</v>
      </c>
      <c r="B57" t="s">
        <v>169</v>
      </c>
      <c r="C57" t="s">
        <v>218</v>
      </c>
      <c r="D57" t="s">
        <v>219</v>
      </c>
      <c r="E57">
        <v>26</v>
      </c>
      <c r="F57" t="s">
        <v>224</v>
      </c>
      <c r="G57" s="2">
        <v>43958</v>
      </c>
      <c r="H57" s="3">
        <v>37031</v>
      </c>
      <c r="I57">
        <v>82.52</v>
      </c>
      <c r="J57">
        <v>5</v>
      </c>
      <c r="K57" t="str">
        <f t="shared" si="0"/>
        <v>Less overtime</v>
      </c>
      <c r="L57">
        <v>2</v>
      </c>
      <c r="M57" t="str" cm="1">
        <f t="array" ref="M57">_xlfn.IFS(L57&gt;=4, "Good", L57 = 3, "Average", L57&lt;=2, "Bad")</f>
        <v>Bad</v>
      </c>
      <c r="N57" t="s">
        <v>225</v>
      </c>
      <c r="O57" t="s">
        <v>228</v>
      </c>
      <c r="P57">
        <v>20</v>
      </c>
      <c r="Q57" t="str" cm="1">
        <f t="array" ref="Q57">_xlfn.IFS(P57&gt;=12, "Takes More Leaves", P57&lt;=11, "Takes Less Leaves")</f>
        <v>Takes More Leaves</v>
      </c>
      <c r="R57">
        <v>4</v>
      </c>
    </row>
    <row r="58" spans="1:18" x14ac:dyDescent="0.3">
      <c r="A58" t="s">
        <v>71</v>
      </c>
      <c r="B58" t="s">
        <v>170</v>
      </c>
      <c r="C58" t="s">
        <v>216</v>
      </c>
      <c r="D58" t="s">
        <v>220</v>
      </c>
      <c r="E58">
        <v>44</v>
      </c>
      <c r="F58" t="s">
        <v>223</v>
      </c>
      <c r="G58" s="2">
        <v>43812</v>
      </c>
      <c r="H58" s="3">
        <v>94586</v>
      </c>
      <c r="I58">
        <v>75.53</v>
      </c>
      <c r="J58">
        <v>30</v>
      </c>
      <c r="K58" t="str">
        <f t="shared" si="0"/>
        <v>Worked most overtime</v>
      </c>
      <c r="L58">
        <v>3</v>
      </c>
      <c r="M58" t="str" cm="1">
        <f t="array" ref="M58">_xlfn.IFS(L58&gt;=4, "Good", L58 = 3, "Average", L58&lt;=2, "Bad")</f>
        <v>Average</v>
      </c>
      <c r="N58" t="s">
        <v>225</v>
      </c>
      <c r="O58" t="s">
        <v>228</v>
      </c>
      <c r="P58">
        <v>2</v>
      </c>
      <c r="Q58" t="str" cm="1">
        <f t="array" ref="Q58">_xlfn.IFS(P58&gt;=12, "Takes More Leaves", P58&lt;=11, "Takes Less Leaves")</f>
        <v>Takes Less Leaves</v>
      </c>
      <c r="R58">
        <v>11</v>
      </c>
    </row>
    <row r="59" spans="1:18" x14ac:dyDescent="0.3">
      <c r="A59" t="s">
        <v>72</v>
      </c>
      <c r="B59" t="s">
        <v>171</v>
      </c>
      <c r="C59" t="s">
        <v>217</v>
      </c>
      <c r="D59" t="s">
        <v>220</v>
      </c>
      <c r="E59">
        <v>27</v>
      </c>
      <c r="F59" t="s">
        <v>224</v>
      </c>
      <c r="G59" s="2">
        <v>43334</v>
      </c>
      <c r="H59" s="3">
        <v>79954</v>
      </c>
      <c r="I59">
        <v>74.02</v>
      </c>
      <c r="J59">
        <v>0</v>
      </c>
      <c r="K59" t="str">
        <f t="shared" si="0"/>
        <v>Less overtime</v>
      </c>
      <c r="L59">
        <v>2</v>
      </c>
      <c r="M59" t="str" cm="1">
        <f t="array" ref="M59">_xlfn.IFS(L59&gt;=4, "Good", L59 = 3, "Average", L59&lt;=2, "Bad")</f>
        <v>Bad</v>
      </c>
      <c r="N59" t="s">
        <v>226</v>
      </c>
      <c r="O59" t="s">
        <v>228</v>
      </c>
      <c r="P59">
        <v>12</v>
      </c>
      <c r="Q59" t="str" cm="1">
        <f t="array" ref="Q59">_xlfn.IFS(P59&gt;=12, "Takes More Leaves", P59&lt;=11, "Takes Less Leaves")</f>
        <v>Takes More Leaves</v>
      </c>
      <c r="R59">
        <v>4</v>
      </c>
    </row>
    <row r="60" spans="1:18" x14ac:dyDescent="0.3">
      <c r="A60" t="s">
        <v>73</v>
      </c>
      <c r="B60" t="s">
        <v>172</v>
      </c>
      <c r="C60" t="s">
        <v>217</v>
      </c>
      <c r="D60" t="s">
        <v>220</v>
      </c>
      <c r="E60">
        <v>23</v>
      </c>
      <c r="F60" t="s">
        <v>223</v>
      </c>
      <c r="G60" s="2">
        <v>43017</v>
      </c>
      <c r="H60" s="3">
        <v>57160</v>
      </c>
      <c r="I60">
        <v>72.58</v>
      </c>
      <c r="J60">
        <v>20</v>
      </c>
      <c r="K60" t="str">
        <f t="shared" si="0"/>
        <v>Worked most overtime</v>
      </c>
      <c r="L60">
        <v>5</v>
      </c>
      <c r="M60" t="str" cm="1">
        <f t="array" ref="M60">_xlfn.IFS(L60&gt;=4, "Good", L60 = 3, "Average", L60&lt;=2, "Bad")</f>
        <v>Good</v>
      </c>
      <c r="N60" t="s">
        <v>225</v>
      </c>
      <c r="O60" t="s">
        <v>227</v>
      </c>
      <c r="P60">
        <v>6</v>
      </c>
      <c r="Q60" t="str" cm="1">
        <f t="array" ref="Q60">_xlfn.IFS(P60&gt;=12, "Takes More Leaves", P60&lt;=11, "Takes Less Leaves")</f>
        <v>Takes Less Leaves</v>
      </c>
      <c r="R60">
        <v>3</v>
      </c>
    </row>
    <row r="61" spans="1:18" x14ac:dyDescent="0.3">
      <c r="A61" t="s">
        <v>74</v>
      </c>
      <c r="B61" t="s">
        <v>173</v>
      </c>
      <c r="C61" t="s">
        <v>215</v>
      </c>
      <c r="D61" t="s">
        <v>221</v>
      </c>
      <c r="E61">
        <v>40</v>
      </c>
      <c r="F61" t="s">
        <v>224</v>
      </c>
      <c r="G61" s="2">
        <v>43137</v>
      </c>
      <c r="H61" s="3">
        <v>70383</v>
      </c>
      <c r="I61">
        <v>83.51</v>
      </c>
      <c r="J61">
        <v>18</v>
      </c>
      <c r="K61" t="str">
        <f t="shared" si="0"/>
        <v>Worked most overtime</v>
      </c>
      <c r="L61">
        <v>4</v>
      </c>
      <c r="M61" t="str" cm="1">
        <f t="array" ref="M61">_xlfn.IFS(L61&gt;=4, "Good", L61 = 3, "Average", L61&lt;=2, "Bad")</f>
        <v>Good</v>
      </c>
      <c r="N61" t="s">
        <v>225</v>
      </c>
      <c r="O61" t="s">
        <v>227</v>
      </c>
      <c r="P61">
        <v>7</v>
      </c>
      <c r="Q61" t="str" cm="1">
        <f t="array" ref="Q61">_xlfn.IFS(P61&gt;=12, "Takes More Leaves", P61&lt;=11, "Takes Less Leaves")</f>
        <v>Takes Less Leaves</v>
      </c>
      <c r="R61">
        <v>13</v>
      </c>
    </row>
    <row r="62" spans="1:18" x14ac:dyDescent="0.3">
      <c r="A62" t="s">
        <v>75</v>
      </c>
      <c r="B62" t="s">
        <v>174</v>
      </c>
      <c r="C62" t="s">
        <v>218</v>
      </c>
      <c r="D62" t="s">
        <v>220</v>
      </c>
      <c r="E62">
        <v>52</v>
      </c>
      <c r="F62" t="s">
        <v>224</v>
      </c>
      <c r="G62" s="2">
        <v>43946</v>
      </c>
      <c r="H62" s="3">
        <v>113952</v>
      </c>
      <c r="I62">
        <v>70.13</v>
      </c>
      <c r="J62">
        <v>11</v>
      </c>
      <c r="K62" t="str">
        <f t="shared" si="0"/>
        <v>Less overtime</v>
      </c>
      <c r="L62">
        <v>5</v>
      </c>
      <c r="M62" t="str" cm="1">
        <f t="array" ref="M62">_xlfn.IFS(L62&gt;=4, "Good", L62 = 3, "Average", L62&lt;=2, "Bad")</f>
        <v>Good</v>
      </c>
      <c r="N62" t="s">
        <v>226</v>
      </c>
      <c r="O62" t="s">
        <v>227</v>
      </c>
      <c r="P62">
        <v>6</v>
      </c>
      <c r="Q62" t="str" cm="1">
        <f t="array" ref="Q62">_xlfn.IFS(P62&gt;=12, "Takes More Leaves", P62&lt;=11, "Takes Less Leaves")</f>
        <v>Takes Less Leaves</v>
      </c>
      <c r="R62">
        <v>8</v>
      </c>
    </row>
    <row r="63" spans="1:18" x14ac:dyDescent="0.3">
      <c r="A63" t="s">
        <v>76</v>
      </c>
      <c r="B63" t="s">
        <v>175</v>
      </c>
      <c r="C63" t="s">
        <v>218</v>
      </c>
      <c r="D63" t="s">
        <v>220</v>
      </c>
      <c r="E63">
        <v>24</v>
      </c>
      <c r="F63" t="s">
        <v>224</v>
      </c>
      <c r="G63" s="2">
        <v>45580</v>
      </c>
      <c r="H63" s="3">
        <v>74706</v>
      </c>
      <c r="I63">
        <v>75.11</v>
      </c>
      <c r="J63">
        <v>20</v>
      </c>
      <c r="K63" t="str">
        <f t="shared" si="0"/>
        <v>Worked most overtime</v>
      </c>
      <c r="L63">
        <v>3</v>
      </c>
      <c r="M63" t="str" cm="1">
        <f t="array" ref="M63">_xlfn.IFS(L63&gt;=4, "Good", L63 = 3, "Average", L63&lt;=2, "Bad")</f>
        <v>Average</v>
      </c>
      <c r="N63" t="s">
        <v>226</v>
      </c>
      <c r="O63" t="s">
        <v>227</v>
      </c>
      <c r="P63">
        <v>5</v>
      </c>
      <c r="Q63" t="str" cm="1">
        <f t="array" ref="Q63">_xlfn.IFS(P63&gt;=12, "Takes More Leaves", P63&lt;=11, "Takes Less Leaves")</f>
        <v>Takes Less Leaves</v>
      </c>
      <c r="R63">
        <v>12</v>
      </c>
    </row>
    <row r="64" spans="1:18" x14ac:dyDescent="0.3">
      <c r="A64" t="s">
        <v>77</v>
      </c>
      <c r="B64" t="s">
        <v>176</v>
      </c>
      <c r="C64" t="s">
        <v>214</v>
      </c>
      <c r="D64" t="s">
        <v>220</v>
      </c>
      <c r="E64">
        <v>39</v>
      </c>
      <c r="F64" t="s">
        <v>222</v>
      </c>
      <c r="G64" s="2">
        <v>43895</v>
      </c>
      <c r="H64" s="3">
        <v>75188</v>
      </c>
      <c r="I64">
        <v>83.25</v>
      </c>
      <c r="J64">
        <v>18</v>
      </c>
      <c r="K64" t="str">
        <f t="shared" si="0"/>
        <v>Worked most overtime</v>
      </c>
      <c r="L64">
        <v>1</v>
      </c>
      <c r="M64" t="str" cm="1">
        <f t="array" ref="M64">_xlfn.IFS(L64&gt;=4, "Good", L64 = 3, "Average", L64&lt;=2, "Bad")</f>
        <v>Bad</v>
      </c>
      <c r="N64" t="s">
        <v>225</v>
      </c>
      <c r="O64" t="s">
        <v>227</v>
      </c>
      <c r="P64">
        <v>8</v>
      </c>
      <c r="Q64" t="str" cm="1">
        <f t="array" ref="Q64">_xlfn.IFS(P64&gt;=12, "Takes More Leaves", P64&lt;=11, "Takes Less Leaves")</f>
        <v>Takes Less Leaves</v>
      </c>
      <c r="R64">
        <v>11</v>
      </c>
    </row>
    <row r="65" spans="1:18" x14ac:dyDescent="0.3">
      <c r="A65" t="s">
        <v>78</v>
      </c>
      <c r="B65" t="s">
        <v>177</v>
      </c>
      <c r="C65" t="s">
        <v>215</v>
      </c>
      <c r="D65" t="s">
        <v>220</v>
      </c>
      <c r="E65">
        <v>42</v>
      </c>
      <c r="F65" t="s">
        <v>223</v>
      </c>
      <c r="G65" s="2">
        <v>43354</v>
      </c>
      <c r="H65" s="3">
        <v>53495</v>
      </c>
      <c r="I65">
        <v>90.76</v>
      </c>
      <c r="J65">
        <v>5</v>
      </c>
      <c r="K65" t="str">
        <f t="shared" si="0"/>
        <v>Less overtime</v>
      </c>
      <c r="L65">
        <v>5</v>
      </c>
      <c r="M65" t="str" cm="1">
        <f t="array" ref="M65">_xlfn.IFS(L65&gt;=4, "Good", L65 = 3, "Average", L65&lt;=2, "Bad")</f>
        <v>Good</v>
      </c>
      <c r="N65" t="s">
        <v>225</v>
      </c>
      <c r="O65" t="s">
        <v>228</v>
      </c>
      <c r="P65">
        <v>13</v>
      </c>
      <c r="Q65" t="str" cm="1">
        <f t="array" ref="Q65">_xlfn.IFS(P65&gt;=12, "Takes More Leaves", P65&lt;=11, "Takes Less Leaves")</f>
        <v>Takes More Leaves</v>
      </c>
      <c r="R65">
        <v>4</v>
      </c>
    </row>
    <row r="66" spans="1:18" x14ac:dyDescent="0.3">
      <c r="A66" t="s">
        <v>79</v>
      </c>
      <c r="B66" t="s">
        <v>178</v>
      </c>
      <c r="C66" t="s">
        <v>214</v>
      </c>
      <c r="D66" t="s">
        <v>219</v>
      </c>
      <c r="E66">
        <v>25</v>
      </c>
      <c r="F66" t="s">
        <v>223</v>
      </c>
      <c r="G66" s="2">
        <v>45238</v>
      </c>
      <c r="H66" s="3">
        <v>98807</v>
      </c>
      <c r="I66">
        <v>95.76</v>
      </c>
      <c r="J66">
        <v>18</v>
      </c>
      <c r="K66" t="str">
        <f t="shared" si="0"/>
        <v>Worked most overtime</v>
      </c>
      <c r="L66">
        <v>1</v>
      </c>
      <c r="M66" t="str" cm="1">
        <f t="array" ref="M66">_xlfn.IFS(L66&gt;=4, "Good", L66 = 3, "Average", L66&lt;=2, "Bad")</f>
        <v>Bad</v>
      </c>
      <c r="N66" t="s">
        <v>226</v>
      </c>
      <c r="O66" t="s">
        <v>227</v>
      </c>
      <c r="P66">
        <v>8</v>
      </c>
      <c r="Q66" t="str" cm="1">
        <f t="array" ref="Q66">_xlfn.IFS(P66&gt;=12, "Takes More Leaves", P66&lt;=11, "Takes Less Leaves")</f>
        <v>Takes Less Leaves</v>
      </c>
      <c r="R66">
        <v>12</v>
      </c>
    </row>
    <row r="67" spans="1:18" x14ac:dyDescent="0.3">
      <c r="A67" t="s">
        <v>80</v>
      </c>
      <c r="B67" t="s">
        <v>179</v>
      </c>
      <c r="C67" t="s">
        <v>215</v>
      </c>
      <c r="D67" t="s">
        <v>220</v>
      </c>
      <c r="E67">
        <v>27</v>
      </c>
      <c r="F67" t="s">
        <v>222</v>
      </c>
      <c r="G67" s="2">
        <v>45338</v>
      </c>
      <c r="H67" s="3">
        <v>46205</v>
      </c>
      <c r="I67">
        <v>93.51</v>
      </c>
      <c r="J67">
        <v>5</v>
      </c>
      <c r="K67" t="str">
        <f t="shared" ref="K67:K101" si="1">IF(J67&gt;=15, "Worked most overtime", "Less overtime")</f>
        <v>Less overtime</v>
      </c>
      <c r="L67">
        <v>3</v>
      </c>
      <c r="M67" t="str" cm="1">
        <f t="array" ref="M67">_xlfn.IFS(L67&gt;=4, "Good", L67 = 3, "Average", L67&lt;=2, "Bad")</f>
        <v>Average</v>
      </c>
      <c r="N67" t="s">
        <v>226</v>
      </c>
      <c r="O67" t="s">
        <v>228</v>
      </c>
      <c r="P67">
        <v>2</v>
      </c>
      <c r="Q67" t="str" cm="1">
        <f t="array" ref="Q67">_xlfn.IFS(P67&gt;=12, "Takes More Leaves", P67&lt;=11, "Takes Less Leaves")</f>
        <v>Takes Less Leaves</v>
      </c>
      <c r="R67">
        <v>9</v>
      </c>
    </row>
    <row r="68" spans="1:18" x14ac:dyDescent="0.3">
      <c r="A68" t="s">
        <v>81</v>
      </c>
      <c r="B68" t="s">
        <v>180</v>
      </c>
      <c r="C68" t="s">
        <v>218</v>
      </c>
      <c r="D68" t="s">
        <v>219</v>
      </c>
      <c r="E68">
        <v>55</v>
      </c>
      <c r="F68" t="s">
        <v>223</v>
      </c>
      <c r="G68" s="2">
        <v>42946</v>
      </c>
      <c r="H68" s="3">
        <v>104525</v>
      </c>
      <c r="I68">
        <v>83.36</v>
      </c>
      <c r="J68">
        <v>14</v>
      </c>
      <c r="K68" t="str">
        <f t="shared" si="1"/>
        <v>Less overtime</v>
      </c>
      <c r="L68">
        <v>1</v>
      </c>
      <c r="M68" t="str" cm="1">
        <f t="array" ref="M68">_xlfn.IFS(L68&gt;=4, "Good", L68 = 3, "Average", L68&lt;=2, "Bad")</f>
        <v>Bad</v>
      </c>
      <c r="N68" t="s">
        <v>226</v>
      </c>
      <c r="O68" t="s">
        <v>227</v>
      </c>
      <c r="P68">
        <v>9</v>
      </c>
      <c r="Q68" t="str" cm="1">
        <f t="array" ref="Q68">_xlfn.IFS(P68&gt;=12, "Takes More Leaves", P68&lt;=11, "Takes Less Leaves")</f>
        <v>Takes Less Leaves</v>
      </c>
      <c r="R68">
        <v>3</v>
      </c>
    </row>
    <row r="69" spans="1:18" x14ac:dyDescent="0.3">
      <c r="A69" t="s">
        <v>82</v>
      </c>
      <c r="B69" t="s">
        <v>181</v>
      </c>
      <c r="C69" t="s">
        <v>214</v>
      </c>
      <c r="D69" t="s">
        <v>219</v>
      </c>
      <c r="E69">
        <v>24</v>
      </c>
      <c r="F69" t="s">
        <v>224</v>
      </c>
      <c r="G69" s="2">
        <v>44333</v>
      </c>
      <c r="H69" s="3">
        <v>57399</v>
      </c>
      <c r="I69">
        <v>80.2</v>
      </c>
      <c r="J69">
        <v>25</v>
      </c>
      <c r="K69" t="str">
        <f t="shared" si="1"/>
        <v>Worked most overtime</v>
      </c>
      <c r="L69">
        <v>2</v>
      </c>
      <c r="M69" t="str" cm="1">
        <f t="array" ref="M69">_xlfn.IFS(L69&gt;=4, "Good", L69 = 3, "Average", L69&lt;=2, "Bad")</f>
        <v>Bad</v>
      </c>
      <c r="N69" t="s">
        <v>225</v>
      </c>
      <c r="O69" t="s">
        <v>228</v>
      </c>
      <c r="P69">
        <v>9</v>
      </c>
      <c r="Q69" t="str" cm="1">
        <f t="array" ref="Q69">_xlfn.IFS(P69&gt;=12, "Takes More Leaves", P69&lt;=11, "Takes Less Leaves")</f>
        <v>Takes Less Leaves</v>
      </c>
      <c r="R69">
        <v>8</v>
      </c>
    </row>
    <row r="70" spans="1:18" x14ac:dyDescent="0.3">
      <c r="A70" t="s">
        <v>83</v>
      </c>
      <c r="B70" t="s">
        <v>182</v>
      </c>
      <c r="C70" t="s">
        <v>218</v>
      </c>
      <c r="D70" t="s">
        <v>220</v>
      </c>
      <c r="E70">
        <v>54</v>
      </c>
      <c r="F70" t="s">
        <v>222</v>
      </c>
      <c r="G70" s="2">
        <v>43874</v>
      </c>
      <c r="H70" s="3">
        <v>61089</v>
      </c>
      <c r="I70">
        <v>77.680000000000007</v>
      </c>
      <c r="J70">
        <v>7</v>
      </c>
      <c r="K70" t="str">
        <f t="shared" si="1"/>
        <v>Less overtime</v>
      </c>
      <c r="L70">
        <v>1</v>
      </c>
      <c r="M70" t="str" cm="1">
        <f t="array" ref="M70">_xlfn.IFS(L70&gt;=4, "Good", L70 = 3, "Average", L70&lt;=2, "Bad")</f>
        <v>Bad</v>
      </c>
      <c r="N70" t="s">
        <v>226</v>
      </c>
      <c r="O70" t="s">
        <v>227</v>
      </c>
      <c r="P70">
        <v>1</v>
      </c>
      <c r="Q70" t="str" cm="1">
        <f t="array" ref="Q70">_xlfn.IFS(P70&gt;=12, "Takes More Leaves", P70&lt;=11, "Takes Less Leaves")</f>
        <v>Takes Less Leaves</v>
      </c>
      <c r="R70">
        <v>9</v>
      </c>
    </row>
    <row r="71" spans="1:18" x14ac:dyDescent="0.3">
      <c r="A71" t="s">
        <v>84</v>
      </c>
      <c r="B71" t="s">
        <v>183</v>
      </c>
      <c r="C71" t="s">
        <v>214</v>
      </c>
      <c r="D71" t="s">
        <v>220</v>
      </c>
      <c r="E71">
        <v>45</v>
      </c>
      <c r="F71" t="s">
        <v>223</v>
      </c>
      <c r="G71" s="2">
        <v>45414</v>
      </c>
      <c r="H71" s="3">
        <v>63920</v>
      </c>
      <c r="I71">
        <v>92.76</v>
      </c>
      <c r="J71">
        <v>13</v>
      </c>
      <c r="K71" t="str">
        <f t="shared" si="1"/>
        <v>Less overtime</v>
      </c>
      <c r="L71">
        <v>4</v>
      </c>
      <c r="M71" t="str" cm="1">
        <f t="array" ref="M71">_xlfn.IFS(L71&gt;=4, "Good", L71 = 3, "Average", L71&lt;=2, "Bad")</f>
        <v>Good</v>
      </c>
      <c r="N71" t="s">
        <v>226</v>
      </c>
      <c r="O71" t="s">
        <v>227</v>
      </c>
      <c r="P71">
        <v>4</v>
      </c>
      <c r="Q71" t="str" cm="1">
        <f t="array" ref="Q71">_xlfn.IFS(P71&gt;=12, "Takes More Leaves", P71&lt;=11, "Takes Less Leaves")</f>
        <v>Takes Less Leaves</v>
      </c>
      <c r="R71">
        <v>11</v>
      </c>
    </row>
    <row r="72" spans="1:18" x14ac:dyDescent="0.3">
      <c r="A72" t="s">
        <v>85</v>
      </c>
      <c r="B72" t="s">
        <v>184</v>
      </c>
      <c r="C72" t="s">
        <v>216</v>
      </c>
      <c r="D72" t="s">
        <v>221</v>
      </c>
      <c r="E72">
        <v>25</v>
      </c>
      <c r="F72" t="s">
        <v>223</v>
      </c>
      <c r="G72" s="2">
        <v>45251</v>
      </c>
      <c r="H72" s="3">
        <v>57860</v>
      </c>
      <c r="I72">
        <v>93.01</v>
      </c>
      <c r="J72">
        <v>29</v>
      </c>
      <c r="K72" t="str">
        <f t="shared" si="1"/>
        <v>Worked most overtime</v>
      </c>
      <c r="L72">
        <v>4</v>
      </c>
      <c r="M72" t="str" cm="1">
        <f t="array" ref="M72">_xlfn.IFS(L72&gt;=4, "Good", L72 = 3, "Average", L72&lt;=2, "Bad")</f>
        <v>Good</v>
      </c>
      <c r="N72" t="s">
        <v>225</v>
      </c>
      <c r="O72" t="s">
        <v>228</v>
      </c>
      <c r="P72">
        <v>13</v>
      </c>
      <c r="Q72" t="str" cm="1">
        <f t="array" ref="Q72">_xlfn.IFS(P72&gt;=12, "Takes More Leaves", P72&lt;=11, "Takes Less Leaves")</f>
        <v>Takes More Leaves</v>
      </c>
      <c r="R72">
        <v>15</v>
      </c>
    </row>
    <row r="73" spans="1:18" x14ac:dyDescent="0.3">
      <c r="A73" t="s">
        <v>86</v>
      </c>
      <c r="B73" t="s">
        <v>185</v>
      </c>
      <c r="C73" t="s">
        <v>215</v>
      </c>
      <c r="D73" t="s">
        <v>219</v>
      </c>
      <c r="E73">
        <v>36</v>
      </c>
      <c r="F73" t="s">
        <v>224</v>
      </c>
      <c r="G73" s="2">
        <v>45337</v>
      </c>
      <c r="H73" s="3">
        <v>57924</v>
      </c>
      <c r="I73">
        <v>93.63</v>
      </c>
      <c r="J73">
        <v>3</v>
      </c>
      <c r="K73" t="str">
        <f t="shared" si="1"/>
        <v>Less overtime</v>
      </c>
      <c r="L73">
        <v>3</v>
      </c>
      <c r="M73" t="str" cm="1">
        <f t="array" ref="M73">_xlfn.IFS(L73&gt;=4, "Good", L73 = 3, "Average", L73&lt;=2, "Bad")</f>
        <v>Average</v>
      </c>
      <c r="N73" t="s">
        <v>225</v>
      </c>
      <c r="O73" t="s">
        <v>227</v>
      </c>
      <c r="P73">
        <v>10</v>
      </c>
      <c r="Q73" t="str" cm="1">
        <f t="array" ref="Q73">_xlfn.IFS(P73&gt;=12, "Takes More Leaves", P73&lt;=11, "Takes Less Leaves")</f>
        <v>Takes Less Leaves</v>
      </c>
      <c r="R73">
        <v>9</v>
      </c>
    </row>
    <row r="74" spans="1:18" x14ac:dyDescent="0.3">
      <c r="A74" t="s">
        <v>87</v>
      </c>
      <c r="B74" t="s">
        <v>186</v>
      </c>
      <c r="C74" t="s">
        <v>215</v>
      </c>
      <c r="D74" t="s">
        <v>219</v>
      </c>
      <c r="E74">
        <v>47</v>
      </c>
      <c r="F74" t="s">
        <v>223</v>
      </c>
      <c r="G74" s="2">
        <v>42779</v>
      </c>
      <c r="H74" s="3">
        <v>85298</v>
      </c>
      <c r="I74">
        <v>81.540000000000006</v>
      </c>
      <c r="J74">
        <v>9</v>
      </c>
      <c r="K74" t="str">
        <f t="shared" si="1"/>
        <v>Less overtime</v>
      </c>
      <c r="L74">
        <v>1</v>
      </c>
      <c r="M74" t="str" cm="1">
        <f t="array" ref="M74">_xlfn.IFS(L74&gt;=4, "Good", L74 = 3, "Average", L74&lt;=2, "Bad")</f>
        <v>Bad</v>
      </c>
      <c r="N74" t="s">
        <v>226</v>
      </c>
      <c r="O74" t="s">
        <v>228</v>
      </c>
      <c r="P74">
        <v>17</v>
      </c>
      <c r="Q74" t="str" cm="1">
        <f t="array" ref="Q74">_xlfn.IFS(P74&gt;=12, "Takes More Leaves", P74&lt;=11, "Takes Less Leaves")</f>
        <v>Takes More Leaves</v>
      </c>
      <c r="R74">
        <v>13</v>
      </c>
    </row>
    <row r="75" spans="1:18" x14ac:dyDescent="0.3">
      <c r="A75" t="s">
        <v>88</v>
      </c>
      <c r="B75" t="s">
        <v>187</v>
      </c>
      <c r="C75" t="s">
        <v>216</v>
      </c>
      <c r="D75" t="s">
        <v>221</v>
      </c>
      <c r="E75">
        <v>24</v>
      </c>
      <c r="F75" t="s">
        <v>224</v>
      </c>
      <c r="G75" s="2">
        <v>42519</v>
      </c>
      <c r="H75" s="3">
        <v>74721</v>
      </c>
      <c r="I75">
        <v>72.41</v>
      </c>
      <c r="J75">
        <v>21</v>
      </c>
      <c r="K75" t="str">
        <f t="shared" si="1"/>
        <v>Worked most overtime</v>
      </c>
      <c r="L75">
        <v>2</v>
      </c>
      <c r="M75" t="str" cm="1">
        <f t="array" ref="M75">_xlfn.IFS(L75&gt;=4, "Good", L75 = 3, "Average", L75&lt;=2, "Bad")</f>
        <v>Bad</v>
      </c>
      <c r="N75" t="s">
        <v>225</v>
      </c>
      <c r="O75" t="s">
        <v>227</v>
      </c>
      <c r="P75">
        <v>13</v>
      </c>
      <c r="Q75" t="str" cm="1">
        <f t="array" ref="Q75">_xlfn.IFS(P75&gt;=12, "Takes More Leaves", P75&lt;=11, "Takes Less Leaves")</f>
        <v>Takes More Leaves</v>
      </c>
      <c r="R75">
        <v>6</v>
      </c>
    </row>
    <row r="76" spans="1:18" x14ac:dyDescent="0.3">
      <c r="A76" t="s">
        <v>89</v>
      </c>
      <c r="B76" t="s">
        <v>188</v>
      </c>
      <c r="C76" t="s">
        <v>214</v>
      </c>
      <c r="D76" t="s">
        <v>220</v>
      </c>
      <c r="E76">
        <v>27</v>
      </c>
      <c r="F76" t="s">
        <v>223</v>
      </c>
      <c r="G76" s="2">
        <v>45034</v>
      </c>
      <c r="H76" s="3">
        <v>80672</v>
      </c>
      <c r="I76">
        <v>96.53</v>
      </c>
      <c r="J76">
        <v>16</v>
      </c>
      <c r="K76" t="str">
        <f t="shared" si="1"/>
        <v>Worked most overtime</v>
      </c>
      <c r="L76">
        <v>2</v>
      </c>
      <c r="M76" t="str" cm="1">
        <f t="array" ref="M76">_xlfn.IFS(L76&gt;=4, "Good", L76 = 3, "Average", L76&lt;=2, "Bad")</f>
        <v>Bad</v>
      </c>
      <c r="N76" t="s">
        <v>225</v>
      </c>
      <c r="O76" t="s">
        <v>227</v>
      </c>
      <c r="P76">
        <v>0</v>
      </c>
      <c r="Q76" t="str" cm="1">
        <f t="array" ref="Q76">_xlfn.IFS(P76&gt;=12, "Takes More Leaves", P76&lt;=11, "Takes Less Leaves")</f>
        <v>Takes Less Leaves</v>
      </c>
      <c r="R76">
        <v>10</v>
      </c>
    </row>
    <row r="77" spans="1:18" x14ac:dyDescent="0.3">
      <c r="A77" t="s">
        <v>90</v>
      </c>
      <c r="B77" t="s">
        <v>189</v>
      </c>
      <c r="C77" t="s">
        <v>216</v>
      </c>
      <c r="D77" t="s">
        <v>221</v>
      </c>
      <c r="E77">
        <v>27</v>
      </c>
      <c r="F77" t="s">
        <v>222</v>
      </c>
      <c r="G77" s="2">
        <v>43968</v>
      </c>
      <c r="H77" s="3">
        <v>69876</v>
      </c>
      <c r="I77">
        <v>83.15</v>
      </c>
      <c r="J77">
        <v>17</v>
      </c>
      <c r="K77" t="str">
        <f t="shared" si="1"/>
        <v>Worked most overtime</v>
      </c>
      <c r="L77">
        <v>1</v>
      </c>
      <c r="M77" t="str" cm="1">
        <f t="array" ref="M77">_xlfn.IFS(L77&gt;=4, "Good", L77 = 3, "Average", L77&lt;=2, "Bad")</f>
        <v>Bad</v>
      </c>
      <c r="N77" t="s">
        <v>225</v>
      </c>
      <c r="O77" t="s">
        <v>227</v>
      </c>
      <c r="P77">
        <v>20</v>
      </c>
      <c r="Q77" t="str" cm="1">
        <f t="array" ref="Q77">_xlfn.IFS(P77&gt;=12, "Takes More Leaves", P77&lt;=11, "Takes Less Leaves")</f>
        <v>Takes More Leaves</v>
      </c>
      <c r="R77">
        <v>3</v>
      </c>
    </row>
    <row r="78" spans="1:18" x14ac:dyDescent="0.3">
      <c r="A78" t="s">
        <v>91</v>
      </c>
      <c r="B78" t="s">
        <v>190</v>
      </c>
      <c r="C78" t="s">
        <v>216</v>
      </c>
      <c r="D78" t="s">
        <v>219</v>
      </c>
      <c r="E78">
        <v>32</v>
      </c>
      <c r="F78" t="s">
        <v>223</v>
      </c>
      <c r="G78" s="2">
        <v>43629</v>
      </c>
      <c r="H78" s="3">
        <v>89120</v>
      </c>
      <c r="I78">
        <v>83.19</v>
      </c>
      <c r="J78">
        <v>23</v>
      </c>
      <c r="K78" t="str">
        <f t="shared" si="1"/>
        <v>Worked most overtime</v>
      </c>
      <c r="L78">
        <v>4</v>
      </c>
      <c r="M78" t="str" cm="1">
        <f t="array" ref="M78">_xlfn.IFS(L78&gt;=4, "Good", L78 = 3, "Average", L78&lt;=2, "Bad")</f>
        <v>Good</v>
      </c>
      <c r="N78" t="s">
        <v>225</v>
      </c>
      <c r="O78" t="s">
        <v>227</v>
      </c>
      <c r="P78">
        <v>19</v>
      </c>
      <c r="Q78" t="str" cm="1">
        <f t="array" ref="Q78">_xlfn.IFS(P78&gt;=12, "Takes More Leaves", P78&lt;=11, "Takes Less Leaves")</f>
        <v>Takes More Leaves</v>
      </c>
      <c r="R78">
        <v>0</v>
      </c>
    </row>
    <row r="79" spans="1:18" x14ac:dyDescent="0.3">
      <c r="A79" t="s">
        <v>92</v>
      </c>
      <c r="B79" t="s">
        <v>191</v>
      </c>
      <c r="C79" t="s">
        <v>214</v>
      </c>
      <c r="D79" t="s">
        <v>220</v>
      </c>
      <c r="E79">
        <v>52</v>
      </c>
      <c r="F79" t="s">
        <v>224</v>
      </c>
      <c r="G79" s="2">
        <v>43310</v>
      </c>
      <c r="H79" s="3">
        <v>39720</v>
      </c>
      <c r="I79">
        <v>98.92</v>
      </c>
      <c r="J79">
        <v>16</v>
      </c>
      <c r="K79" t="str">
        <f t="shared" si="1"/>
        <v>Worked most overtime</v>
      </c>
      <c r="L79">
        <v>2</v>
      </c>
      <c r="M79" t="str" cm="1">
        <f t="array" ref="M79">_xlfn.IFS(L79&gt;=4, "Good", L79 = 3, "Average", L79&lt;=2, "Bad")</f>
        <v>Bad</v>
      </c>
      <c r="N79" t="s">
        <v>225</v>
      </c>
      <c r="O79" t="s">
        <v>227</v>
      </c>
      <c r="P79">
        <v>13</v>
      </c>
      <c r="Q79" t="str" cm="1">
        <f t="array" ref="Q79">_xlfn.IFS(P79&gt;=12, "Takes More Leaves", P79&lt;=11, "Takes Less Leaves")</f>
        <v>Takes More Leaves</v>
      </c>
      <c r="R79">
        <v>12</v>
      </c>
    </row>
    <row r="80" spans="1:18" x14ac:dyDescent="0.3">
      <c r="A80" t="s">
        <v>93</v>
      </c>
      <c r="B80" t="s">
        <v>192</v>
      </c>
      <c r="C80" t="s">
        <v>214</v>
      </c>
      <c r="D80" t="s">
        <v>221</v>
      </c>
      <c r="E80">
        <v>29</v>
      </c>
      <c r="F80" t="s">
        <v>222</v>
      </c>
      <c r="G80" s="2">
        <v>44108</v>
      </c>
      <c r="H80" s="3">
        <v>47868</v>
      </c>
      <c r="I80">
        <v>97.13</v>
      </c>
      <c r="J80">
        <v>25</v>
      </c>
      <c r="K80" t="str">
        <f t="shared" si="1"/>
        <v>Worked most overtime</v>
      </c>
      <c r="L80">
        <v>3</v>
      </c>
      <c r="M80" t="str" cm="1">
        <f t="array" ref="M80">_xlfn.IFS(L80&gt;=4, "Good", L80 = 3, "Average", L80&lt;=2, "Bad")</f>
        <v>Average</v>
      </c>
      <c r="N80" t="s">
        <v>226</v>
      </c>
      <c r="O80" t="s">
        <v>227</v>
      </c>
      <c r="P80">
        <v>6</v>
      </c>
      <c r="Q80" t="str" cm="1">
        <f t="array" ref="Q80">_xlfn.IFS(P80&gt;=12, "Takes More Leaves", P80&lt;=11, "Takes Less Leaves")</f>
        <v>Takes Less Leaves</v>
      </c>
      <c r="R80">
        <v>7</v>
      </c>
    </row>
    <row r="81" spans="1:18" x14ac:dyDescent="0.3">
      <c r="A81" t="s">
        <v>94</v>
      </c>
      <c r="B81" t="s">
        <v>193</v>
      </c>
      <c r="C81" t="s">
        <v>214</v>
      </c>
      <c r="D81" t="s">
        <v>221</v>
      </c>
      <c r="E81">
        <v>50</v>
      </c>
      <c r="F81" t="s">
        <v>223</v>
      </c>
      <c r="G81" s="2">
        <v>45462</v>
      </c>
      <c r="H81" s="3">
        <v>96839</v>
      </c>
      <c r="I81">
        <v>86.77</v>
      </c>
      <c r="J81">
        <v>8</v>
      </c>
      <c r="K81" t="str">
        <f t="shared" si="1"/>
        <v>Less overtime</v>
      </c>
      <c r="L81">
        <v>5</v>
      </c>
      <c r="M81" t="str" cm="1">
        <f t="array" ref="M81">_xlfn.IFS(L81&gt;=4, "Good", L81 = 3, "Average", L81&lt;=2, "Bad")</f>
        <v>Good</v>
      </c>
      <c r="N81" t="s">
        <v>226</v>
      </c>
      <c r="O81" t="s">
        <v>228</v>
      </c>
      <c r="P81">
        <v>0</v>
      </c>
      <c r="Q81" t="str" cm="1">
        <f t="array" ref="Q81">_xlfn.IFS(P81&gt;=12, "Takes More Leaves", P81&lt;=11, "Takes Less Leaves")</f>
        <v>Takes Less Leaves</v>
      </c>
      <c r="R81">
        <v>1</v>
      </c>
    </row>
    <row r="82" spans="1:18" x14ac:dyDescent="0.3">
      <c r="A82" t="s">
        <v>95</v>
      </c>
      <c r="B82" t="s">
        <v>194</v>
      </c>
      <c r="C82" t="s">
        <v>214</v>
      </c>
      <c r="D82" t="s">
        <v>219</v>
      </c>
      <c r="E82">
        <v>41</v>
      </c>
      <c r="F82" t="s">
        <v>223</v>
      </c>
      <c r="G82" s="2">
        <v>44912</v>
      </c>
      <c r="H82" s="3">
        <v>88893</v>
      </c>
      <c r="I82">
        <v>93.25</v>
      </c>
      <c r="J82">
        <v>11</v>
      </c>
      <c r="K82" t="str">
        <f t="shared" si="1"/>
        <v>Less overtime</v>
      </c>
      <c r="L82">
        <v>5</v>
      </c>
      <c r="M82" t="str" cm="1">
        <f t="array" ref="M82">_xlfn.IFS(L82&gt;=4, "Good", L82 = 3, "Average", L82&lt;=2, "Bad")</f>
        <v>Good</v>
      </c>
      <c r="N82" t="s">
        <v>225</v>
      </c>
      <c r="O82" t="s">
        <v>227</v>
      </c>
      <c r="P82">
        <v>10</v>
      </c>
      <c r="Q82" t="str" cm="1">
        <f t="array" ref="Q82">_xlfn.IFS(P82&gt;=12, "Takes More Leaves", P82&lt;=11, "Takes Less Leaves")</f>
        <v>Takes Less Leaves</v>
      </c>
      <c r="R82">
        <v>1</v>
      </c>
    </row>
    <row r="83" spans="1:18" x14ac:dyDescent="0.3">
      <c r="A83" t="s">
        <v>96</v>
      </c>
      <c r="B83" t="s">
        <v>195</v>
      </c>
      <c r="C83" t="s">
        <v>214</v>
      </c>
      <c r="D83" t="s">
        <v>220</v>
      </c>
      <c r="E83">
        <v>53</v>
      </c>
      <c r="F83" t="s">
        <v>222</v>
      </c>
      <c r="G83" s="2">
        <v>43873</v>
      </c>
      <c r="H83" s="3">
        <v>90992</v>
      </c>
      <c r="I83">
        <v>79.180000000000007</v>
      </c>
      <c r="J83">
        <v>13</v>
      </c>
      <c r="K83" t="str">
        <f t="shared" si="1"/>
        <v>Less overtime</v>
      </c>
      <c r="L83">
        <v>3</v>
      </c>
      <c r="M83" t="str" cm="1">
        <f t="array" ref="M83">_xlfn.IFS(L83&gt;=4, "Good", L83 = 3, "Average", L83&lt;=2, "Bad")</f>
        <v>Average</v>
      </c>
      <c r="N83" t="s">
        <v>226</v>
      </c>
      <c r="O83" t="s">
        <v>228</v>
      </c>
      <c r="P83">
        <v>12</v>
      </c>
      <c r="Q83" t="str" cm="1">
        <f t="array" ref="Q83">_xlfn.IFS(P83&gt;=12, "Takes More Leaves", P83&lt;=11, "Takes Less Leaves")</f>
        <v>Takes More Leaves</v>
      </c>
      <c r="R83">
        <v>8</v>
      </c>
    </row>
    <row r="84" spans="1:18" x14ac:dyDescent="0.3">
      <c r="A84" t="s">
        <v>97</v>
      </c>
      <c r="B84" t="s">
        <v>196</v>
      </c>
      <c r="C84" t="s">
        <v>218</v>
      </c>
      <c r="D84" t="s">
        <v>221</v>
      </c>
      <c r="E84">
        <v>46</v>
      </c>
      <c r="F84" t="s">
        <v>224</v>
      </c>
      <c r="G84" s="2">
        <v>45353</v>
      </c>
      <c r="H84" s="3">
        <v>49090</v>
      </c>
      <c r="I84">
        <v>70.209999999999994</v>
      </c>
      <c r="J84">
        <v>15</v>
      </c>
      <c r="K84" t="str">
        <f t="shared" si="1"/>
        <v>Worked most overtime</v>
      </c>
      <c r="L84">
        <v>1</v>
      </c>
      <c r="M84" t="str" cm="1">
        <f t="array" ref="M84">_xlfn.IFS(L84&gt;=4, "Good", L84 = 3, "Average", L84&lt;=2, "Bad")</f>
        <v>Bad</v>
      </c>
      <c r="N84" t="s">
        <v>226</v>
      </c>
      <c r="O84" t="s">
        <v>227</v>
      </c>
      <c r="P84">
        <v>10</v>
      </c>
      <c r="Q84" t="str" cm="1">
        <f t="array" ref="Q84">_xlfn.IFS(P84&gt;=12, "Takes More Leaves", P84&lt;=11, "Takes Less Leaves")</f>
        <v>Takes Less Leaves</v>
      </c>
      <c r="R84">
        <v>12</v>
      </c>
    </row>
    <row r="85" spans="1:18" x14ac:dyDescent="0.3">
      <c r="A85" t="s">
        <v>98</v>
      </c>
      <c r="B85" t="s">
        <v>197</v>
      </c>
      <c r="C85" t="s">
        <v>218</v>
      </c>
      <c r="D85" t="s">
        <v>221</v>
      </c>
      <c r="E85">
        <v>55</v>
      </c>
      <c r="F85" t="s">
        <v>224</v>
      </c>
      <c r="G85" s="2">
        <v>45298</v>
      </c>
      <c r="H85" s="3">
        <v>117424</v>
      </c>
      <c r="I85">
        <v>81.739999999999995</v>
      </c>
      <c r="J85">
        <v>6</v>
      </c>
      <c r="K85" t="str">
        <f t="shared" si="1"/>
        <v>Less overtime</v>
      </c>
      <c r="L85">
        <v>3</v>
      </c>
      <c r="M85" t="str" cm="1">
        <f t="array" ref="M85">_xlfn.IFS(L85&gt;=4, "Good", L85 = 3, "Average", L85&lt;=2, "Bad")</f>
        <v>Average</v>
      </c>
      <c r="N85" t="s">
        <v>225</v>
      </c>
      <c r="O85" t="s">
        <v>227</v>
      </c>
      <c r="P85">
        <v>13</v>
      </c>
      <c r="Q85" t="str" cm="1">
        <f t="array" ref="Q85">_xlfn.IFS(P85&gt;=12, "Takes More Leaves", P85&lt;=11, "Takes Less Leaves")</f>
        <v>Takes More Leaves</v>
      </c>
      <c r="R85">
        <v>4</v>
      </c>
    </row>
    <row r="86" spans="1:18" x14ac:dyDescent="0.3">
      <c r="A86" t="s">
        <v>99</v>
      </c>
      <c r="B86" t="s">
        <v>198</v>
      </c>
      <c r="C86" t="s">
        <v>216</v>
      </c>
      <c r="D86" t="s">
        <v>221</v>
      </c>
      <c r="E86">
        <v>23</v>
      </c>
      <c r="F86" t="s">
        <v>224</v>
      </c>
      <c r="G86" s="2">
        <v>44261</v>
      </c>
      <c r="H86" s="3">
        <v>83197</v>
      </c>
      <c r="I86">
        <v>87.55</v>
      </c>
      <c r="J86">
        <v>26</v>
      </c>
      <c r="K86" t="str">
        <f t="shared" si="1"/>
        <v>Worked most overtime</v>
      </c>
      <c r="L86">
        <v>4</v>
      </c>
      <c r="M86" t="str" cm="1">
        <f t="array" ref="M86">_xlfn.IFS(L86&gt;=4, "Good", L86 = 3, "Average", L86&lt;=2, "Bad")</f>
        <v>Good</v>
      </c>
      <c r="N86" t="s">
        <v>226</v>
      </c>
      <c r="O86" t="s">
        <v>227</v>
      </c>
      <c r="P86">
        <v>15</v>
      </c>
      <c r="Q86" t="str" cm="1">
        <f t="array" ref="Q86">_xlfn.IFS(P86&gt;=12, "Takes More Leaves", P86&lt;=11, "Takes Less Leaves")</f>
        <v>Takes More Leaves</v>
      </c>
      <c r="R86">
        <v>11</v>
      </c>
    </row>
    <row r="87" spans="1:18" x14ac:dyDescent="0.3">
      <c r="A87" t="s">
        <v>100</v>
      </c>
      <c r="B87" t="s">
        <v>199</v>
      </c>
      <c r="C87" t="s">
        <v>216</v>
      </c>
      <c r="D87" t="s">
        <v>221</v>
      </c>
      <c r="E87">
        <v>26</v>
      </c>
      <c r="F87" t="s">
        <v>223</v>
      </c>
      <c r="G87" s="2">
        <v>43855</v>
      </c>
      <c r="H87" s="3">
        <v>64027</v>
      </c>
      <c r="I87">
        <v>71.77</v>
      </c>
      <c r="J87">
        <v>28</v>
      </c>
      <c r="K87" t="str">
        <f t="shared" si="1"/>
        <v>Worked most overtime</v>
      </c>
      <c r="L87">
        <v>2</v>
      </c>
      <c r="M87" t="str" cm="1">
        <f t="array" ref="M87">_xlfn.IFS(L87&gt;=4, "Good", L87 = 3, "Average", L87&lt;=2, "Bad")</f>
        <v>Bad</v>
      </c>
      <c r="N87" t="s">
        <v>226</v>
      </c>
      <c r="O87" t="s">
        <v>227</v>
      </c>
      <c r="P87">
        <v>1</v>
      </c>
      <c r="Q87" t="str" cm="1">
        <f t="array" ref="Q87">_xlfn.IFS(P87&gt;=12, "Takes More Leaves", P87&lt;=11, "Takes Less Leaves")</f>
        <v>Takes Less Leaves</v>
      </c>
      <c r="R87">
        <v>12</v>
      </c>
    </row>
    <row r="88" spans="1:18" x14ac:dyDescent="0.3">
      <c r="A88" t="s">
        <v>101</v>
      </c>
      <c r="B88" t="s">
        <v>200</v>
      </c>
      <c r="C88" t="s">
        <v>215</v>
      </c>
      <c r="D88" t="s">
        <v>220</v>
      </c>
      <c r="E88">
        <v>25</v>
      </c>
      <c r="F88" t="s">
        <v>224</v>
      </c>
      <c r="G88" s="2">
        <v>44458</v>
      </c>
      <c r="H88" s="3">
        <v>43471</v>
      </c>
      <c r="I88">
        <v>95.89</v>
      </c>
      <c r="J88">
        <v>17</v>
      </c>
      <c r="K88" t="str">
        <f t="shared" si="1"/>
        <v>Worked most overtime</v>
      </c>
      <c r="L88">
        <v>2</v>
      </c>
      <c r="M88" t="str" cm="1">
        <f t="array" ref="M88">_xlfn.IFS(L88&gt;=4, "Good", L88 = 3, "Average", L88&lt;=2, "Bad")</f>
        <v>Bad</v>
      </c>
      <c r="N88" t="s">
        <v>226</v>
      </c>
      <c r="O88" t="s">
        <v>228</v>
      </c>
      <c r="P88">
        <v>15</v>
      </c>
      <c r="Q88" t="str" cm="1">
        <f t="array" ref="Q88">_xlfn.IFS(P88&gt;=12, "Takes More Leaves", P88&lt;=11, "Takes Less Leaves")</f>
        <v>Takes More Leaves</v>
      </c>
      <c r="R88">
        <v>8</v>
      </c>
    </row>
    <row r="89" spans="1:18" x14ac:dyDescent="0.3">
      <c r="A89" t="s">
        <v>102</v>
      </c>
      <c r="B89" t="s">
        <v>201</v>
      </c>
      <c r="C89" t="s">
        <v>217</v>
      </c>
      <c r="D89" t="s">
        <v>221</v>
      </c>
      <c r="E89">
        <v>46</v>
      </c>
      <c r="F89" t="s">
        <v>223</v>
      </c>
      <c r="G89" s="2">
        <v>45304</v>
      </c>
      <c r="H89" s="3">
        <v>97569</v>
      </c>
      <c r="I89">
        <v>85.07</v>
      </c>
      <c r="J89">
        <v>29</v>
      </c>
      <c r="K89" t="str">
        <f t="shared" si="1"/>
        <v>Worked most overtime</v>
      </c>
      <c r="L89">
        <v>3</v>
      </c>
      <c r="M89" t="str" cm="1">
        <f t="array" ref="M89">_xlfn.IFS(L89&gt;=4, "Good", L89 = 3, "Average", L89&lt;=2, "Bad")</f>
        <v>Average</v>
      </c>
      <c r="N89" t="s">
        <v>225</v>
      </c>
      <c r="O89" t="s">
        <v>227</v>
      </c>
      <c r="P89">
        <v>11</v>
      </c>
      <c r="Q89" t="str" cm="1">
        <f t="array" ref="Q89">_xlfn.IFS(P89&gt;=12, "Takes More Leaves", P89&lt;=11, "Takes Less Leaves")</f>
        <v>Takes Less Leaves</v>
      </c>
      <c r="R89">
        <v>11</v>
      </c>
    </row>
    <row r="90" spans="1:18" x14ac:dyDescent="0.3">
      <c r="A90" t="s">
        <v>103</v>
      </c>
      <c r="B90" t="s">
        <v>202</v>
      </c>
      <c r="C90" t="s">
        <v>214</v>
      </c>
      <c r="D90" t="s">
        <v>219</v>
      </c>
      <c r="E90">
        <v>37</v>
      </c>
      <c r="F90" t="s">
        <v>223</v>
      </c>
      <c r="G90" s="2">
        <v>44110</v>
      </c>
      <c r="H90" s="3">
        <v>92122</v>
      </c>
      <c r="I90">
        <v>75.88</v>
      </c>
      <c r="J90">
        <v>18</v>
      </c>
      <c r="K90" t="str">
        <f t="shared" si="1"/>
        <v>Worked most overtime</v>
      </c>
      <c r="L90">
        <v>4</v>
      </c>
      <c r="M90" t="str" cm="1">
        <f t="array" ref="M90">_xlfn.IFS(L90&gt;=4, "Good", L90 = 3, "Average", L90&lt;=2, "Bad")</f>
        <v>Good</v>
      </c>
      <c r="N90" t="s">
        <v>225</v>
      </c>
      <c r="O90" t="s">
        <v>228</v>
      </c>
      <c r="P90">
        <v>3</v>
      </c>
      <c r="Q90" t="str" cm="1">
        <f t="array" ref="Q90">_xlfn.IFS(P90&gt;=12, "Takes More Leaves", P90&lt;=11, "Takes Less Leaves")</f>
        <v>Takes Less Leaves</v>
      </c>
      <c r="R90">
        <v>0</v>
      </c>
    </row>
    <row r="91" spans="1:18" x14ac:dyDescent="0.3">
      <c r="A91" t="s">
        <v>104</v>
      </c>
      <c r="B91" t="s">
        <v>203</v>
      </c>
      <c r="C91" t="s">
        <v>214</v>
      </c>
      <c r="D91" t="s">
        <v>219</v>
      </c>
      <c r="E91">
        <v>43</v>
      </c>
      <c r="F91" t="s">
        <v>224</v>
      </c>
      <c r="G91" s="2">
        <v>45431</v>
      </c>
      <c r="H91" s="3">
        <v>44966</v>
      </c>
      <c r="I91">
        <v>82.42</v>
      </c>
      <c r="J91">
        <v>14</v>
      </c>
      <c r="K91" t="str">
        <f t="shared" si="1"/>
        <v>Less overtime</v>
      </c>
      <c r="L91">
        <v>2</v>
      </c>
      <c r="M91" t="str" cm="1">
        <f t="array" ref="M91">_xlfn.IFS(L91&gt;=4, "Good", L91 = 3, "Average", L91&lt;=2, "Bad")</f>
        <v>Bad</v>
      </c>
      <c r="N91" t="s">
        <v>225</v>
      </c>
      <c r="O91" t="s">
        <v>227</v>
      </c>
      <c r="P91">
        <v>7</v>
      </c>
      <c r="Q91" t="str" cm="1">
        <f t="array" ref="Q91">_xlfn.IFS(P91&gt;=12, "Takes More Leaves", P91&lt;=11, "Takes Less Leaves")</f>
        <v>Takes Less Leaves</v>
      </c>
      <c r="R91">
        <v>11</v>
      </c>
    </row>
    <row r="92" spans="1:18" x14ac:dyDescent="0.3">
      <c r="A92" t="s">
        <v>105</v>
      </c>
      <c r="B92" t="s">
        <v>204</v>
      </c>
      <c r="C92" t="s">
        <v>218</v>
      </c>
      <c r="D92" t="s">
        <v>220</v>
      </c>
      <c r="E92">
        <v>44</v>
      </c>
      <c r="F92" t="s">
        <v>223</v>
      </c>
      <c r="G92" s="2">
        <v>45534</v>
      </c>
      <c r="H92" s="3">
        <v>108567</v>
      </c>
      <c r="I92">
        <v>91.96</v>
      </c>
      <c r="J92">
        <v>24</v>
      </c>
      <c r="K92" t="str">
        <f t="shared" si="1"/>
        <v>Worked most overtime</v>
      </c>
      <c r="L92">
        <v>3</v>
      </c>
      <c r="M92" t="str" cm="1">
        <f t="array" ref="M92">_xlfn.IFS(L92&gt;=4, "Good", L92 = 3, "Average", L92&lt;=2, "Bad")</f>
        <v>Average</v>
      </c>
      <c r="N92" t="s">
        <v>225</v>
      </c>
      <c r="O92" t="s">
        <v>228</v>
      </c>
      <c r="P92">
        <v>2</v>
      </c>
      <c r="Q92" t="str" cm="1">
        <f t="array" ref="Q92">_xlfn.IFS(P92&gt;=12, "Takes More Leaves", P92&lt;=11, "Takes Less Leaves")</f>
        <v>Takes Less Leaves</v>
      </c>
      <c r="R92">
        <v>10</v>
      </c>
    </row>
    <row r="93" spans="1:18" x14ac:dyDescent="0.3">
      <c r="A93" t="s">
        <v>106</v>
      </c>
      <c r="B93" t="s">
        <v>205</v>
      </c>
      <c r="C93" t="s">
        <v>216</v>
      </c>
      <c r="D93" t="s">
        <v>221</v>
      </c>
      <c r="E93">
        <v>29</v>
      </c>
      <c r="F93" t="s">
        <v>222</v>
      </c>
      <c r="G93" s="2">
        <v>44892</v>
      </c>
      <c r="H93" s="3">
        <v>34858</v>
      </c>
      <c r="I93">
        <v>74.150000000000006</v>
      </c>
      <c r="J93">
        <v>15</v>
      </c>
      <c r="K93" t="str">
        <f t="shared" si="1"/>
        <v>Worked most overtime</v>
      </c>
      <c r="L93">
        <v>5</v>
      </c>
      <c r="M93" t="str" cm="1">
        <f t="array" ref="M93">_xlfn.IFS(L93&gt;=4, "Good", L93 = 3, "Average", L93&lt;=2, "Bad")</f>
        <v>Good</v>
      </c>
      <c r="N93" t="s">
        <v>225</v>
      </c>
      <c r="O93" t="s">
        <v>228</v>
      </c>
      <c r="P93">
        <v>12</v>
      </c>
      <c r="Q93" t="str" cm="1">
        <f t="array" ref="Q93">_xlfn.IFS(P93&gt;=12, "Takes More Leaves", P93&lt;=11, "Takes Less Leaves")</f>
        <v>Takes More Leaves</v>
      </c>
      <c r="R93">
        <v>13</v>
      </c>
    </row>
    <row r="94" spans="1:18" x14ac:dyDescent="0.3">
      <c r="A94" t="s">
        <v>107</v>
      </c>
      <c r="B94" t="s">
        <v>206</v>
      </c>
      <c r="C94" t="s">
        <v>215</v>
      </c>
      <c r="D94" t="s">
        <v>220</v>
      </c>
      <c r="E94">
        <v>31</v>
      </c>
      <c r="F94" t="s">
        <v>224</v>
      </c>
      <c r="G94" s="2">
        <v>43602</v>
      </c>
      <c r="H94" s="3">
        <v>90864</v>
      </c>
      <c r="I94">
        <v>83.24</v>
      </c>
      <c r="J94">
        <v>29</v>
      </c>
      <c r="K94" t="str">
        <f t="shared" si="1"/>
        <v>Worked most overtime</v>
      </c>
      <c r="L94">
        <v>2</v>
      </c>
      <c r="M94" t="str" cm="1">
        <f t="array" ref="M94">_xlfn.IFS(L94&gt;=4, "Good", L94 = 3, "Average", L94&lt;=2, "Bad")</f>
        <v>Bad</v>
      </c>
      <c r="N94" t="s">
        <v>225</v>
      </c>
      <c r="O94" t="s">
        <v>227</v>
      </c>
      <c r="P94">
        <v>19</v>
      </c>
      <c r="Q94" t="str" cm="1">
        <f t="array" ref="Q94">_xlfn.IFS(P94&gt;=12, "Takes More Leaves", P94&lt;=11, "Takes Less Leaves")</f>
        <v>Takes More Leaves</v>
      </c>
      <c r="R94">
        <v>1</v>
      </c>
    </row>
    <row r="95" spans="1:18" x14ac:dyDescent="0.3">
      <c r="A95" t="s">
        <v>108</v>
      </c>
      <c r="B95" t="s">
        <v>207</v>
      </c>
      <c r="C95" t="s">
        <v>215</v>
      </c>
      <c r="D95" t="s">
        <v>220</v>
      </c>
      <c r="E95">
        <v>43</v>
      </c>
      <c r="F95" t="s">
        <v>223</v>
      </c>
      <c r="G95" s="2">
        <v>44018</v>
      </c>
      <c r="H95" s="3">
        <v>99145</v>
      </c>
      <c r="I95">
        <v>91.29</v>
      </c>
      <c r="J95">
        <v>11</v>
      </c>
      <c r="K95" t="str">
        <f t="shared" si="1"/>
        <v>Less overtime</v>
      </c>
      <c r="L95">
        <v>3</v>
      </c>
      <c r="M95" t="str" cm="1">
        <f t="array" ref="M95">_xlfn.IFS(L95&gt;=4, "Good", L95 = 3, "Average", L95&lt;=2, "Bad")</f>
        <v>Average</v>
      </c>
      <c r="N95" t="s">
        <v>225</v>
      </c>
      <c r="O95" t="s">
        <v>227</v>
      </c>
      <c r="P95">
        <v>9</v>
      </c>
      <c r="Q95" t="str" cm="1">
        <f t="array" ref="Q95">_xlfn.IFS(P95&gt;=12, "Takes More Leaves", P95&lt;=11, "Takes Less Leaves")</f>
        <v>Takes Less Leaves</v>
      </c>
      <c r="R95">
        <v>4</v>
      </c>
    </row>
    <row r="96" spans="1:18" x14ac:dyDescent="0.3">
      <c r="A96" t="s">
        <v>109</v>
      </c>
      <c r="B96" t="s">
        <v>208</v>
      </c>
      <c r="C96" t="s">
        <v>216</v>
      </c>
      <c r="D96" t="s">
        <v>220</v>
      </c>
      <c r="E96">
        <v>24</v>
      </c>
      <c r="F96" t="s">
        <v>222</v>
      </c>
      <c r="G96" s="2">
        <v>44668</v>
      </c>
      <c r="H96" s="3">
        <v>48352</v>
      </c>
      <c r="I96">
        <v>72.98</v>
      </c>
      <c r="J96">
        <v>8</v>
      </c>
      <c r="K96" t="str">
        <f t="shared" si="1"/>
        <v>Less overtime</v>
      </c>
      <c r="L96">
        <v>3</v>
      </c>
      <c r="M96" t="str" cm="1">
        <f t="array" ref="M96">_xlfn.IFS(L96&gt;=4, "Good", L96 = 3, "Average", L96&lt;=2, "Bad")</f>
        <v>Average</v>
      </c>
      <c r="N96" t="s">
        <v>225</v>
      </c>
      <c r="O96" t="s">
        <v>227</v>
      </c>
      <c r="P96">
        <v>19</v>
      </c>
      <c r="Q96" t="str" cm="1">
        <f t="array" ref="Q96">_xlfn.IFS(P96&gt;=12, "Takes More Leaves", P96&lt;=11, "Takes Less Leaves")</f>
        <v>Takes More Leaves</v>
      </c>
      <c r="R96">
        <v>15</v>
      </c>
    </row>
    <row r="97" spans="1:18" x14ac:dyDescent="0.3">
      <c r="A97" t="s">
        <v>110</v>
      </c>
      <c r="B97" t="s">
        <v>209</v>
      </c>
      <c r="C97" t="s">
        <v>218</v>
      </c>
      <c r="D97" t="s">
        <v>219</v>
      </c>
      <c r="E97">
        <v>52</v>
      </c>
      <c r="F97" t="s">
        <v>224</v>
      </c>
      <c r="G97" s="2">
        <v>43637</v>
      </c>
      <c r="H97" s="3">
        <v>37940</v>
      </c>
      <c r="I97">
        <v>80.67</v>
      </c>
      <c r="J97">
        <v>15</v>
      </c>
      <c r="K97" t="str">
        <f t="shared" si="1"/>
        <v>Worked most overtime</v>
      </c>
      <c r="L97">
        <v>4</v>
      </c>
      <c r="M97" t="str" cm="1">
        <f t="array" ref="M97">_xlfn.IFS(L97&gt;=4, "Good", L97 = 3, "Average", L97&lt;=2, "Bad")</f>
        <v>Good</v>
      </c>
      <c r="N97" t="s">
        <v>226</v>
      </c>
      <c r="O97" t="s">
        <v>227</v>
      </c>
      <c r="P97">
        <v>16</v>
      </c>
      <c r="Q97" t="str" cm="1">
        <f t="array" ref="Q97">_xlfn.IFS(P97&gt;=12, "Takes More Leaves", P97&lt;=11, "Takes Less Leaves")</f>
        <v>Takes More Leaves</v>
      </c>
      <c r="R97">
        <v>2</v>
      </c>
    </row>
    <row r="98" spans="1:18" x14ac:dyDescent="0.3">
      <c r="A98" t="s">
        <v>111</v>
      </c>
      <c r="B98" t="s">
        <v>210</v>
      </c>
      <c r="C98" t="s">
        <v>215</v>
      </c>
      <c r="D98" t="s">
        <v>221</v>
      </c>
      <c r="E98">
        <v>31</v>
      </c>
      <c r="F98" t="s">
        <v>224</v>
      </c>
      <c r="G98" s="2">
        <v>42509</v>
      </c>
      <c r="H98" s="3">
        <v>110695</v>
      </c>
      <c r="I98">
        <v>87.39</v>
      </c>
      <c r="J98">
        <v>25</v>
      </c>
      <c r="K98" t="str">
        <f t="shared" si="1"/>
        <v>Worked most overtime</v>
      </c>
      <c r="L98">
        <v>1</v>
      </c>
      <c r="M98" t="str" cm="1">
        <f t="array" ref="M98">_xlfn.IFS(L98&gt;=4, "Good", L98 = 3, "Average", L98&lt;=2, "Bad")</f>
        <v>Bad</v>
      </c>
      <c r="N98" t="s">
        <v>225</v>
      </c>
      <c r="O98" t="s">
        <v>227</v>
      </c>
      <c r="P98">
        <v>6</v>
      </c>
      <c r="Q98" t="str" cm="1">
        <f t="array" ref="Q98">_xlfn.IFS(P98&gt;=12, "Takes More Leaves", P98&lt;=11, "Takes Less Leaves")</f>
        <v>Takes Less Leaves</v>
      </c>
      <c r="R98">
        <v>3</v>
      </c>
    </row>
    <row r="99" spans="1:18" x14ac:dyDescent="0.3">
      <c r="A99" t="s">
        <v>112</v>
      </c>
      <c r="B99" t="s">
        <v>211</v>
      </c>
      <c r="C99" t="s">
        <v>218</v>
      </c>
      <c r="D99" t="s">
        <v>221</v>
      </c>
      <c r="E99">
        <v>22</v>
      </c>
      <c r="F99" t="s">
        <v>222</v>
      </c>
      <c r="G99" s="2">
        <v>43153</v>
      </c>
      <c r="H99" s="3">
        <v>89776</v>
      </c>
      <c r="I99">
        <v>79.67</v>
      </c>
      <c r="J99">
        <v>14</v>
      </c>
      <c r="K99" t="str">
        <f t="shared" si="1"/>
        <v>Less overtime</v>
      </c>
      <c r="L99">
        <v>1</v>
      </c>
      <c r="M99" t="str" cm="1">
        <f t="array" ref="M99">_xlfn.IFS(L99&gt;=4, "Good", L99 = 3, "Average", L99&lt;=2, "Bad")</f>
        <v>Bad</v>
      </c>
      <c r="N99" t="s">
        <v>226</v>
      </c>
      <c r="O99" t="s">
        <v>227</v>
      </c>
      <c r="P99">
        <v>20</v>
      </c>
      <c r="Q99" t="str" cm="1">
        <f t="array" ref="Q99">_xlfn.IFS(P99&gt;=12, "Takes More Leaves", P99&lt;=11, "Takes Less Leaves")</f>
        <v>Takes More Leaves</v>
      </c>
      <c r="R99">
        <v>15</v>
      </c>
    </row>
    <row r="100" spans="1:18" x14ac:dyDescent="0.3">
      <c r="A100" t="s">
        <v>113</v>
      </c>
      <c r="B100" t="s">
        <v>212</v>
      </c>
      <c r="C100" t="s">
        <v>218</v>
      </c>
      <c r="D100" t="s">
        <v>220</v>
      </c>
      <c r="E100">
        <v>50</v>
      </c>
      <c r="F100" t="s">
        <v>224</v>
      </c>
      <c r="G100" s="2">
        <v>44165</v>
      </c>
      <c r="H100" s="3">
        <v>58387</v>
      </c>
      <c r="I100">
        <v>79.42</v>
      </c>
      <c r="J100">
        <v>29</v>
      </c>
      <c r="K100" t="str">
        <f t="shared" si="1"/>
        <v>Worked most overtime</v>
      </c>
      <c r="L100">
        <v>1</v>
      </c>
      <c r="M100" t="str" cm="1">
        <f t="array" ref="M100">_xlfn.IFS(L100&gt;=4, "Good", L100 = 3, "Average", L100&lt;=2, "Bad")</f>
        <v>Bad</v>
      </c>
      <c r="N100" t="s">
        <v>226</v>
      </c>
      <c r="O100" t="s">
        <v>228</v>
      </c>
      <c r="P100">
        <v>3</v>
      </c>
      <c r="Q100" t="str" cm="1">
        <f t="array" ref="Q100">_xlfn.IFS(P100&gt;=12, "Takes More Leaves", P100&lt;=11, "Takes Less Leaves")</f>
        <v>Takes Less Leaves</v>
      </c>
      <c r="R100">
        <v>10</v>
      </c>
    </row>
    <row r="101" spans="1:18" x14ac:dyDescent="0.3">
      <c r="A101" t="s">
        <v>114</v>
      </c>
      <c r="B101" t="s">
        <v>213</v>
      </c>
      <c r="C101" t="s">
        <v>216</v>
      </c>
      <c r="D101" t="s">
        <v>221</v>
      </c>
      <c r="E101">
        <v>53</v>
      </c>
      <c r="F101" t="s">
        <v>223</v>
      </c>
      <c r="G101" s="2">
        <v>44775</v>
      </c>
      <c r="H101" s="3">
        <v>39303</v>
      </c>
      <c r="I101">
        <v>72.209999999999994</v>
      </c>
      <c r="J101">
        <v>0</v>
      </c>
      <c r="K101" t="str">
        <f t="shared" si="1"/>
        <v>Less overtime</v>
      </c>
      <c r="L101">
        <v>3</v>
      </c>
      <c r="M101" t="str" cm="1">
        <f t="array" ref="M101">_xlfn.IFS(L101&gt;=4, "Good", L101 = 3, "Average", L101&lt;=2, "Bad")</f>
        <v>Average</v>
      </c>
      <c r="N101" t="s">
        <v>226</v>
      </c>
      <c r="O101" t="s">
        <v>227</v>
      </c>
      <c r="P101">
        <v>3</v>
      </c>
      <c r="Q101" t="str" cm="1">
        <f t="array" ref="Q101">_xlfn.IFS(P101&gt;=12, "Takes More Leaves", P101&lt;=11, "Takes Less Leaves")</f>
        <v>Takes Less Leaves</v>
      </c>
      <c r="R101">
        <v>15</v>
      </c>
    </row>
  </sheetData>
  <conditionalFormatting sqref="J6">
    <cfRule type="containsBlanks" priority="6">
      <formula>LEN(TRIM(J6))=0</formula>
    </cfRule>
  </conditionalFormatting>
  <conditionalFormatting sqref="K1:K101 J102:J1048576">
    <cfRule type="containsText" dxfId="14" priority="1" operator="containsText" text="Worked most overtime">
      <formula>NOT(ISERROR(SEARCH("Worked most overtime",J1)))</formula>
    </cfRule>
  </conditionalFormatting>
  <conditionalFormatting sqref="M1:M101 L102:L1048576">
    <cfRule type="containsText" dxfId="13" priority="3" operator="containsText" text="Bad">
      <formula>NOT(ISERROR(SEARCH("Bad",L1)))</formula>
    </cfRule>
    <cfRule type="containsText" dxfId="12" priority="4" operator="containsText" text="Average">
      <formula>NOT(ISERROR(SEARCH("Average",L1)))</formula>
    </cfRule>
    <cfRule type="containsText" dxfId="11" priority="5" operator="containsText" text="Good">
      <formula>NOT(ISERROR(SEARCH("Good",L1)))</formula>
    </cfRule>
  </conditionalFormatting>
  <conditionalFormatting sqref="Q1:Q101 P102:P1048576">
    <cfRule type="containsText" dxfId="10" priority="2" operator="containsText" text="Takes more leaves">
      <formula>NOT(ISERROR(SEARCH("Takes more leaves",P1)))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BE194-E0D3-4B88-9B1E-54E379828C49}">
  <dimension ref="A1"/>
  <sheetViews>
    <sheetView showGridLines="0" tabSelected="1" zoomScaleNormal="100" workbookViewId="0">
      <selection activeCell="W24" sqref="W24"/>
    </sheetView>
  </sheetViews>
  <sheetFormatPr defaultRowHeight="14.4" x14ac:dyDescent="0.3"/>
  <cols>
    <col min="1" max="16384" width="8.88671875" style="9"/>
  </cols>
  <sheetData>
    <row r="1" s="9" customFormat="1"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E3618-8552-498A-A2C1-E42B9C4D341D}">
  <dimension ref="A1:B9"/>
  <sheetViews>
    <sheetView workbookViewId="0">
      <selection activeCell="P10" sqref="P10"/>
    </sheetView>
  </sheetViews>
  <sheetFormatPr defaultRowHeight="14.4" x14ac:dyDescent="0.3"/>
  <cols>
    <col min="1" max="1" width="12.5546875" bestFit="1" customWidth="1"/>
    <col min="2" max="2" width="19.88671875" bestFit="1" customWidth="1"/>
  </cols>
  <sheetData>
    <row r="1" spans="1:2" x14ac:dyDescent="0.3">
      <c r="A1" t="s">
        <v>235</v>
      </c>
    </row>
    <row r="3" spans="1:2" x14ac:dyDescent="0.3">
      <c r="A3" s="4" t="s">
        <v>232</v>
      </c>
      <c r="B3" t="s">
        <v>238</v>
      </c>
    </row>
    <row r="4" spans="1:2" x14ac:dyDescent="0.3">
      <c r="A4" s="5" t="s">
        <v>217</v>
      </c>
      <c r="B4" s="11">
        <v>11</v>
      </c>
    </row>
    <row r="5" spans="1:2" x14ac:dyDescent="0.3">
      <c r="A5" s="5" t="s">
        <v>214</v>
      </c>
      <c r="B5" s="11">
        <v>27</v>
      </c>
    </row>
    <row r="6" spans="1:2" x14ac:dyDescent="0.3">
      <c r="A6" s="5" t="s">
        <v>218</v>
      </c>
      <c r="B6" s="11">
        <v>23</v>
      </c>
    </row>
    <row r="7" spans="1:2" x14ac:dyDescent="0.3">
      <c r="A7" s="5" t="s">
        <v>216</v>
      </c>
      <c r="B7" s="11">
        <v>22</v>
      </c>
    </row>
    <row r="8" spans="1:2" x14ac:dyDescent="0.3">
      <c r="A8" s="5" t="s">
        <v>215</v>
      </c>
      <c r="B8" s="11">
        <v>17</v>
      </c>
    </row>
    <row r="9" spans="1:2" x14ac:dyDescent="0.3">
      <c r="A9" s="5" t="s">
        <v>233</v>
      </c>
      <c r="B9" s="11">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50A6-5F53-4ADF-B466-95F6C6A0324E}">
  <dimension ref="A3:D8"/>
  <sheetViews>
    <sheetView workbookViewId="0">
      <selection activeCell="D8" sqref="D8"/>
    </sheetView>
  </sheetViews>
  <sheetFormatPr defaultRowHeight="14.4" x14ac:dyDescent="0.3"/>
  <cols>
    <col min="1" max="1" width="13.33203125" bestFit="1" customWidth="1"/>
    <col min="2" max="2" width="23.109375" bestFit="1" customWidth="1"/>
    <col min="3" max="3" width="28.21875" bestFit="1" customWidth="1"/>
    <col min="4" max="4" width="24.5546875" bestFit="1" customWidth="1"/>
  </cols>
  <sheetData>
    <row r="3" spans="1:4" x14ac:dyDescent="0.3">
      <c r="A3" s="4" t="s">
        <v>2</v>
      </c>
      <c r="B3" t="s">
        <v>236</v>
      </c>
      <c r="C3" t="s">
        <v>234</v>
      </c>
      <c r="D3" t="s">
        <v>243</v>
      </c>
    </row>
    <row r="4" spans="1:4" x14ac:dyDescent="0.3">
      <c r="A4" s="5" t="s">
        <v>217</v>
      </c>
      <c r="B4" s="6">
        <v>84.175454545454556</v>
      </c>
      <c r="C4" s="6">
        <v>3</v>
      </c>
      <c r="D4" s="6">
        <v>16</v>
      </c>
    </row>
    <row r="5" spans="1:4" x14ac:dyDescent="0.3">
      <c r="A5" s="5" t="s">
        <v>214</v>
      </c>
      <c r="B5" s="6">
        <v>86.80074074074075</v>
      </c>
      <c r="C5" s="6">
        <v>3.0370370370370372</v>
      </c>
      <c r="D5" s="6">
        <v>16.74074074074074</v>
      </c>
    </row>
    <row r="6" spans="1:4" x14ac:dyDescent="0.3">
      <c r="A6" s="5" t="s">
        <v>218</v>
      </c>
      <c r="B6" s="6">
        <v>83.62608695652176</v>
      </c>
      <c r="C6" s="6">
        <v>2.652173913043478</v>
      </c>
      <c r="D6" s="6">
        <v>13.347826086956522</v>
      </c>
    </row>
    <row r="7" spans="1:4" x14ac:dyDescent="0.3">
      <c r="A7" s="5" t="s">
        <v>216</v>
      </c>
      <c r="B7" s="6">
        <v>80.818181818181827</v>
      </c>
      <c r="C7" s="6">
        <v>3</v>
      </c>
      <c r="D7" s="6">
        <v>16.954545454545453</v>
      </c>
    </row>
    <row r="8" spans="1:4" x14ac:dyDescent="0.3">
      <c r="A8" s="5" t="s">
        <v>215</v>
      </c>
      <c r="B8" s="6">
        <v>89.070588235294125</v>
      </c>
      <c r="C8" s="6">
        <v>3</v>
      </c>
      <c r="D8" s="6">
        <v>14.764705882352942</v>
      </c>
    </row>
  </sheetData>
  <conditionalFormatting pivot="1" sqref="B4:B8">
    <cfRule type="colorScale" priority="3">
      <colorScale>
        <cfvo type="min"/>
        <cfvo type="percentile" val="50"/>
        <cfvo type="max"/>
        <color rgb="FFF8696B"/>
        <color rgb="FFFFEB84"/>
        <color rgb="FF63BE7B"/>
      </colorScale>
    </cfRule>
  </conditionalFormatting>
  <conditionalFormatting pivot="1" sqref="C4:C8">
    <cfRule type="colorScale" priority="2">
      <colorScale>
        <cfvo type="min"/>
        <cfvo type="percentile" val="50"/>
        <cfvo type="max"/>
        <color rgb="FFF8696B"/>
        <color rgb="FFFFEB84"/>
        <color rgb="FF63BE7B"/>
      </colorScale>
    </cfRule>
  </conditionalFormatting>
  <conditionalFormatting pivot="1" sqref="D4:D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6314-F90E-4D4A-8D9C-B8F80C3D55CC}">
  <dimension ref="A1:B9"/>
  <sheetViews>
    <sheetView workbookViewId="0">
      <selection activeCell="P9" sqref="P9"/>
    </sheetView>
  </sheetViews>
  <sheetFormatPr defaultRowHeight="14.4" x14ac:dyDescent="0.3"/>
  <cols>
    <col min="1" max="1" width="12.5546875" bestFit="1" customWidth="1"/>
    <col min="2" max="2" width="23.109375" bestFit="1" customWidth="1"/>
  </cols>
  <sheetData>
    <row r="1" spans="1:2" x14ac:dyDescent="0.3">
      <c r="A1" t="s">
        <v>237</v>
      </c>
    </row>
    <row r="3" spans="1:2" x14ac:dyDescent="0.3">
      <c r="A3" s="4" t="s">
        <v>232</v>
      </c>
      <c r="B3" t="s">
        <v>236</v>
      </c>
    </row>
    <row r="4" spans="1:2" x14ac:dyDescent="0.3">
      <c r="A4" s="5" t="s">
        <v>217</v>
      </c>
      <c r="B4" s="6">
        <v>84.175454545454556</v>
      </c>
    </row>
    <row r="5" spans="1:2" x14ac:dyDescent="0.3">
      <c r="A5" s="5" t="s">
        <v>214</v>
      </c>
      <c r="B5" s="6">
        <v>86.80074074074075</v>
      </c>
    </row>
    <row r="6" spans="1:2" x14ac:dyDescent="0.3">
      <c r="A6" s="5" t="s">
        <v>218</v>
      </c>
      <c r="B6" s="6">
        <v>83.62608695652176</v>
      </c>
    </row>
    <row r="7" spans="1:2" x14ac:dyDescent="0.3">
      <c r="A7" s="5" t="s">
        <v>216</v>
      </c>
      <c r="B7" s="6">
        <v>80.818181818181827</v>
      </c>
    </row>
    <row r="8" spans="1:2" x14ac:dyDescent="0.3">
      <c r="A8" s="5" t="s">
        <v>215</v>
      </c>
      <c r="B8" s="6">
        <v>89.070588235294125</v>
      </c>
    </row>
    <row r="9" spans="1:2" x14ac:dyDescent="0.3">
      <c r="A9" s="5" t="s">
        <v>233</v>
      </c>
      <c r="B9" s="6">
        <v>84.851500000000016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F248-A496-40FC-80A5-C2CCFB7BDE51}">
  <dimension ref="A3:C9"/>
  <sheetViews>
    <sheetView workbookViewId="0">
      <selection activeCell="B19" sqref="B19"/>
    </sheetView>
  </sheetViews>
  <sheetFormatPr defaultRowHeight="14.4" x14ac:dyDescent="0.3"/>
  <cols>
    <col min="1" max="1" width="12.5546875" bestFit="1" customWidth="1"/>
    <col min="2" max="2" width="24.21875" bestFit="1" customWidth="1"/>
    <col min="3" max="3" width="23.109375" bestFit="1" customWidth="1"/>
    <col min="4" max="5" width="21" bestFit="1" customWidth="1"/>
  </cols>
  <sheetData>
    <row r="3" spans="1:3" x14ac:dyDescent="0.3">
      <c r="A3" s="4" t="s">
        <v>232</v>
      </c>
      <c r="B3" t="s">
        <v>244</v>
      </c>
      <c r="C3" t="s">
        <v>236</v>
      </c>
    </row>
    <row r="4" spans="1:3" x14ac:dyDescent="0.3">
      <c r="A4" s="5" t="s">
        <v>217</v>
      </c>
      <c r="B4" s="6">
        <v>80286.727272727279</v>
      </c>
      <c r="C4" s="6">
        <v>84.175454545454556</v>
      </c>
    </row>
    <row r="5" spans="1:3" x14ac:dyDescent="0.3">
      <c r="A5" s="5" t="s">
        <v>214</v>
      </c>
      <c r="B5" s="6">
        <v>72310.074074074073</v>
      </c>
      <c r="C5" s="6">
        <v>86.80074074074075</v>
      </c>
    </row>
    <row r="6" spans="1:3" x14ac:dyDescent="0.3">
      <c r="A6" s="5" t="s">
        <v>218</v>
      </c>
      <c r="B6" s="6">
        <v>81560.565217391311</v>
      </c>
      <c r="C6" s="6">
        <v>83.62608695652176</v>
      </c>
    </row>
    <row r="7" spans="1:3" x14ac:dyDescent="0.3">
      <c r="A7" s="5" t="s">
        <v>216</v>
      </c>
      <c r="B7" s="6">
        <v>69912</v>
      </c>
      <c r="C7" s="6">
        <v>80.818181818181827</v>
      </c>
    </row>
    <row r="8" spans="1:3" x14ac:dyDescent="0.3">
      <c r="A8" s="5" t="s">
        <v>215</v>
      </c>
      <c r="B8" s="6">
        <v>71224.705882352937</v>
      </c>
      <c r="C8" s="6">
        <v>89.070588235294125</v>
      </c>
    </row>
    <row r="9" spans="1:3" x14ac:dyDescent="0.3">
      <c r="A9" s="5" t="s">
        <v>233</v>
      </c>
      <c r="B9" s="6">
        <v>74603.03</v>
      </c>
      <c r="C9" s="6">
        <v>84.851500000000016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5AF9-4711-4D64-95D3-7AA98D864BCE}">
  <dimension ref="A3:B7"/>
  <sheetViews>
    <sheetView workbookViewId="0">
      <selection activeCell="P10" sqref="P10"/>
    </sheetView>
  </sheetViews>
  <sheetFormatPr defaultRowHeight="14.4" x14ac:dyDescent="0.3"/>
  <cols>
    <col min="1" max="1" width="12.5546875" bestFit="1" customWidth="1"/>
    <col min="2" max="2" width="12.6640625" bestFit="1" customWidth="1"/>
    <col min="3" max="3" width="5.21875" bestFit="1" customWidth="1"/>
    <col min="4" max="4" width="5.77734375" bestFit="1" customWidth="1"/>
    <col min="5" max="5" width="10.77734375" bestFit="1" customWidth="1"/>
  </cols>
  <sheetData>
    <row r="3" spans="1:2" x14ac:dyDescent="0.3">
      <c r="A3" s="4" t="s">
        <v>232</v>
      </c>
      <c r="B3" t="s">
        <v>239</v>
      </c>
    </row>
    <row r="4" spans="1:2" x14ac:dyDescent="0.3">
      <c r="A4" s="5" t="s">
        <v>221</v>
      </c>
      <c r="B4" s="11">
        <v>41</v>
      </c>
    </row>
    <row r="5" spans="1:2" x14ac:dyDescent="0.3">
      <c r="A5" s="5" t="s">
        <v>220</v>
      </c>
      <c r="B5" s="11">
        <v>40</v>
      </c>
    </row>
    <row r="6" spans="1:2" x14ac:dyDescent="0.3">
      <c r="A6" s="5" t="s">
        <v>219</v>
      </c>
      <c r="B6" s="11">
        <v>19</v>
      </c>
    </row>
    <row r="7" spans="1:2" x14ac:dyDescent="0.3">
      <c r="A7" s="5" t="s">
        <v>233</v>
      </c>
      <c r="B7" s="11">
        <v>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0831-A489-4157-99E6-8329246148DE}">
  <dimension ref="A1:D6"/>
  <sheetViews>
    <sheetView zoomScale="107" workbookViewId="0">
      <selection activeCell="C15" sqref="C15"/>
    </sheetView>
  </sheetViews>
  <sheetFormatPr defaultRowHeight="14.4" x14ac:dyDescent="0.3"/>
  <cols>
    <col min="1" max="1" width="14.21875" customWidth="1"/>
    <col min="2" max="2" width="16.44140625" customWidth="1"/>
    <col min="3" max="3" width="22.77734375" customWidth="1"/>
    <col min="4" max="4" width="18.21875" customWidth="1"/>
  </cols>
  <sheetData>
    <row r="1" spans="1:4" ht="15.6" x14ac:dyDescent="0.3">
      <c r="A1" s="10" t="s">
        <v>2</v>
      </c>
      <c r="B1" s="10" t="s">
        <v>240</v>
      </c>
      <c r="C1" s="10" t="s">
        <v>241</v>
      </c>
      <c r="D1" s="10" t="s">
        <v>242</v>
      </c>
    </row>
    <row r="2" spans="1:4" x14ac:dyDescent="0.3">
      <c r="A2" t="s">
        <v>214</v>
      </c>
      <c r="B2" s="3">
        <f>AVERAGEIF(Table1[Department], A2, Table1[Monthly_Salary])</f>
        <v>72310.074074074073</v>
      </c>
      <c r="C2" s="6">
        <f>AVERAGEIF(Table1[Department], A2, Table1[Performance_Rating])</f>
        <v>3.0370370370370372</v>
      </c>
      <c r="D2">
        <f>COUNTIF(Table1[Department], A2)</f>
        <v>27</v>
      </c>
    </row>
    <row r="3" spans="1:4" x14ac:dyDescent="0.3">
      <c r="A3" t="s">
        <v>215</v>
      </c>
      <c r="B3" s="3">
        <f>AVERAGEIF(Table1[Department], A3, Table1[Monthly_Salary])</f>
        <v>71224.705882352937</v>
      </c>
      <c r="C3" s="6">
        <f>AVERAGEIF(Table1[Department], A3, Table1[Performance_Rating])</f>
        <v>3</v>
      </c>
      <c r="D3">
        <f>COUNTIF(Table1[Department], A3)</f>
        <v>17</v>
      </c>
    </row>
    <row r="4" spans="1:4" x14ac:dyDescent="0.3">
      <c r="A4" t="s">
        <v>218</v>
      </c>
      <c r="B4" s="3">
        <f>AVERAGEIF(Table1[Department], A4, Table1[Monthly_Salary])</f>
        <v>81560.565217391311</v>
      </c>
      <c r="C4" s="6">
        <f>AVERAGEIF(Table1[Department], A4, Table1[Performance_Rating])</f>
        <v>2.652173913043478</v>
      </c>
      <c r="D4">
        <f>COUNTIF(Table1[Department], A4)</f>
        <v>23</v>
      </c>
    </row>
    <row r="5" spans="1:4" x14ac:dyDescent="0.3">
      <c r="A5" t="s">
        <v>217</v>
      </c>
      <c r="B5" s="3">
        <f>AVERAGEIF(Table1[Department], A5, Table1[Monthly_Salary])</f>
        <v>80286.727272727279</v>
      </c>
      <c r="C5" s="6">
        <f>AVERAGEIF(Table1[Department], A5, Table1[Performance_Rating])</f>
        <v>3</v>
      </c>
      <c r="D5">
        <f>COUNTIF(Table1[Department], A5)</f>
        <v>11</v>
      </c>
    </row>
    <row r="6" spans="1:4" x14ac:dyDescent="0.3">
      <c r="A6" t="s">
        <v>216</v>
      </c>
      <c r="B6" s="3">
        <f>AVERAGEIF(Table1[Department], A6, Table1[Monthly_Salary])</f>
        <v>69912</v>
      </c>
      <c r="C6" s="6">
        <f>AVERAGEIF(Table1[Department], A6, Table1[Performance_Rating])</f>
        <v>3</v>
      </c>
      <c r="D6">
        <f>COUNTIF(Table1[Department], A6)</f>
        <v>22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679E-6B9D-45F8-8AC1-5E6BDA081D45}">
  <dimension ref="A1:B101"/>
  <sheetViews>
    <sheetView workbookViewId="0">
      <selection activeCell="R12" sqref="R12"/>
    </sheetView>
  </sheetViews>
  <sheetFormatPr defaultRowHeight="14.4" x14ac:dyDescent="0.3"/>
  <cols>
    <col min="1" max="1" width="14.77734375" bestFit="1" customWidth="1"/>
    <col min="2" max="2" width="18.44140625" bestFit="1" customWidth="1"/>
  </cols>
  <sheetData>
    <row r="1" spans="1:2" x14ac:dyDescent="0.3">
      <c r="A1" s="1" t="s">
        <v>9</v>
      </c>
      <c r="B1" s="1" t="s">
        <v>10</v>
      </c>
    </row>
    <row r="2" spans="1:2" x14ac:dyDescent="0.3">
      <c r="A2">
        <v>6</v>
      </c>
      <c r="B2">
        <v>5</v>
      </c>
    </row>
    <row r="3" spans="1:2" x14ac:dyDescent="0.3">
      <c r="A3">
        <v>10</v>
      </c>
      <c r="B3">
        <v>5</v>
      </c>
    </row>
    <row r="4" spans="1:2" x14ac:dyDescent="0.3">
      <c r="A4">
        <v>1</v>
      </c>
      <c r="B4">
        <v>1</v>
      </c>
    </row>
    <row r="5" spans="1:2" x14ac:dyDescent="0.3">
      <c r="A5">
        <v>22</v>
      </c>
      <c r="B5">
        <v>1</v>
      </c>
    </row>
    <row r="6" spans="1:2" x14ac:dyDescent="0.3">
      <c r="A6">
        <v>16</v>
      </c>
      <c r="B6">
        <v>3</v>
      </c>
    </row>
    <row r="7" spans="1:2" x14ac:dyDescent="0.3">
      <c r="A7">
        <v>28</v>
      </c>
      <c r="B7">
        <v>5</v>
      </c>
    </row>
    <row r="8" spans="1:2" x14ac:dyDescent="0.3">
      <c r="A8">
        <v>16</v>
      </c>
      <c r="B8">
        <v>4</v>
      </c>
    </row>
    <row r="9" spans="1:2" x14ac:dyDescent="0.3">
      <c r="A9">
        <v>26</v>
      </c>
      <c r="B9">
        <v>5</v>
      </c>
    </row>
    <row r="10" spans="1:2" x14ac:dyDescent="0.3">
      <c r="A10">
        <v>6</v>
      </c>
      <c r="B10">
        <v>2</v>
      </c>
    </row>
    <row r="11" spans="1:2" x14ac:dyDescent="0.3">
      <c r="A11">
        <v>10</v>
      </c>
      <c r="B11">
        <v>5</v>
      </c>
    </row>
    <row r="12" spans="1:2" x14ac:dyDescent="0.3">
      <c r="A12">
        <v>25</v>
      </c>
      <c r="B12">
        <v>4</v>
      </c>
    </row>
    <row r="13" spans="1:2" x14ac:dyDescent="0.3">
      <c r="A13">
        <v>15</v>
      </c>
      <c r="B13">
        <v>5</v>
      </c>
    </row>
    <row r="14" spans="1:2" x14ac:dyDescent="0.3">
      <c r="A14">
        <v>17</v>
      </c>
      <c r="B14">
        <v>1</v>
      </c>
    </row>
    <row r="15" spans="1:2" x14ac:dyDescent="0.3">
      <c r="A15">
        <v>19</v>
      </c>
      <c r="B15">
        <v>3</v>
      </c>
    </row>
    <row r="16" spans="1:2" x14ac:dyDescent="0.3">
      <c r="A16">
        <v>28</v>
      </c>
      <c r="B16">
        <v>4</v>
      </c>
    </row>
    <row r="17" spans="1:2" x14ac:dyDescent="0.3">
      <c r="A17">
        <v>27</v>
      </c>
      <c r="B17">
        <v>2</v>
      </c>
    </row>
    <row r="18" spans="1:2" x14ac:dyDescent="0.3">
      <c r="A18">
        <v>14</v>
      </c>
      <c r="B18">
        <v>1</v>
      </c>
    </row>
    <row r="19" spans="1:2" x14ac:dyDescent="0.3">
      <c r="A19">
        <v>2</v>
      </c>
      <c r="B19">
        <v>3</v>
      </c>
    </row>
    <row r="20" spans="1:2" x14ac:dyDescent="0.3">
      <c r="A20">
        <v>13</v>
      </c>
      <c r="B20">
        <v>1</v>
      </c>
    </row>
    <row r="21" spans="1:2" x14ac:dyDescent="0.3">
      <c r="A21">
        <v>19</v>
      </c>
      <c r="B21">
        <v>4</v>
      </c>
    </row>
    <row r="22" spans="1:2" x14ac:dyDescent="0.3">
      <c r="A22">
        <v>13</v>
      </c>
      <c r="B22">
        <v>4</v>
      </c>
    </row>
    <row r="23" spans="1:2" x14ac:dyDescent="0.3">
      <c r="A23">
        <v>18</v>
      </c>
      <c r="B23">
        <v>5</v>
      </c>
    </row>
    <row r="24" spans="1:2" x14ac:dyDescent="0.3">
      <c r="A24">
        <v>0</v>
      </c>
      <c r="B24">
        <v>4</v>
      </c>
    </row>
    <row r="25" spans="1:2" x14ac:dyDescent="0.3">
      <c r="A25">
        <v>13</v>
      </c>
      <c r="B25">
        <v>1</v>
      </c>
    </row>
    <row r="26" spans="1:2" x14ac:dyDescent="0.3">
      <c r="A26">
        <v>6</v>
      </c>
      <c r="B26">
        <v>3</v>
      </c>
    </row>
    <row r="27" spans="1:2" x14ac:dyDescent="0.3">
      <c r="A27">
        <v>1</v>
      </c>
      <c r="B27">
        <v>1</v>
      </c>
    </row>
    <row r="28" spans="1:2" x14ac:dyDescent="0.3">
      <c r="A28">
        <v>5</v>
      </c>
      <c r="B28">
        <v>2</v>
      </c>
    </row>
    <row r="29" spans="1:2" x14ac:dyDescent="0.3">
      <c r="A29">
        <v>24</v>
      </c>
      <c r="B29">
        <v>4</v>
      </c>
    </row>
    <row r="30" spans="1:2" x14ac:dyDescent="0.3">
      <c r="A30">
        <v>20</v>
      </c>
      <c r="B30">
        <v>4</v>
      </c>
    </row>
    <row r="31" spans="1:2" x14ac:dyDescent="0.3">
      <c r="A31">
        <v>30</v>
      </c>
      <c r="B31">
        <v>5</v>
      </c>
    </row>
    <row r="32" spans="1:2" x14ac:dyDescent="0.3">
      <c r="A32">
        <v>13</v>
      </c>
      <c r="B32">
        <v>2</v>
      </c>
    </row>
    <row r="33" spans="1:2" x14ac:dyDescent="0.3">
      <c r="A33">
        <v>15</v>
      </c>
      <c r="B33">
        <v>2</v>
      </c>
    </row>
    <row r="34" spans="1:2" x14ac:dyDescent="0.3">
      <c r="A34">
        <v>30</v>
      </c>
      <c r="B34">
        <v>4</v>
      </c>
    </row>
    <row r="35" spans="1:2" x14ac:dyDescent="0.3">
      <c r="A35">
        <v>22</v>
      </c>
      <c r="B35">
        <v>5</v>
      </c>
    </row>
    <row r="36" spans="1:2" x14ac:dyDescent="0.3">
      <c r="A36">
        <v>18</v>
      </c>
      <c r="B36">
        <v>3</v>
      </c>
    </row>
    <row r="37" spans="1:2" x14ac:dyDescent="0.3">
      <c r="A37">
        <v>9</v>
      </c>
      <c r="B37">
        <v>3</v>
      </c>
    </row>
    <row r="38" spans="1:2" x14ac:dyDescent="0.3">
      <c r="A38">
        <v>27</v>
      </c>
      <c r="B38">
        <v>5</v>
      </c>
    </row>
    <row r="39" spans="1:2" x14ac:dyDescent="0.3">
      <c r="A39">
        <v>16</v>
      </c>
      <c r="B39">
        <v>1</v>
      </c>
    </row>
    <row r="40" spans="1:2" x14ac:dyDescent="0.3">
      <c r="A40">
        <v>11</v>
      </c>
      <c r="B40">
        <v>5</v>
      </c>
    </row>
    <row r="41" spans="1:2" x14ac:dyDescent="0.3">
      <c r="A41">
        <v>19</v>
      </c>
      <c r="B41">
        <v>2</v>
      </c>
    </row>
    <row r="42" spans="1:2" x14ac:dyDescent="0.3">
      <c r="A42">
        <v>22</v>
      </c>
      <c r="B42">
        <v>3</v>
      </c>
    </row>
    <row r="43" spans="1:2" x14ac:dyDescent="0.3">
      <c r="A43">
        <v>29</v>
      </c>
      <c r="B43">
        <v>3</v>
      </c>
    </row>
    <row r="44" spans="1:2" x14ac:dyDescent="0.3">
      <c r="A44">
        <v>6</v>
      </c>
      <c r="B44">
        <v>3</v>
      </c>
    </row>
    <row r="45" spans="1:2" x14ac:dyDescent="0.3">
      <c r="A45">
        <v>12</v>
      </c>
      <c r="B45">
        <v>1</v>
      </c>
    </row>
    <row r="46" spans="1:2" x14ac:dyDescent="0.3">
      <c r="A46">
        <v>16</v>
      </c>
      <c r="B46">
        <v>5</v>
      </c>
    </row>
    <row r="47" spans="1:2" x14ac:dyDescent="0.3">
      <c r="A47">
        <v>11</v>
      </c>
      <c r="B47">
        <v>3</v>
      </c>
    </row>
    <row r="48" spans="1:2" x14ac:dyDescent="0.3">
      <c r="A48">
        <v>1</v>
      </c>
      <c r="B48">
        <v>1</v>
      </c>
    </row>
    <row r="49" spans="1:2" x14ac:dyDescent="0.3">
      <c r="A49">
        <v>0</v>
      </c>
      <c r="B49">
        <v>4</v>
      </c>
    </row>
    <row r="50" spans="1:2" x14ac:dyDescent="0.3">
      <c r="A50">
        <v>2</v>
      </c>
      <c r="B50">
        <v>2</v>
      </c>
    </row>
    <row r="51" spans="1:2" x14ac:dyDescent="0.3">
      <c r="A51">
        <v>16</v>
      </c>
      <c r="B51">
        <v>1</v>
      </c>
    </row>
    <row r="52" spans="1:2" x14ac:dyDescent="0.3">
      <c r="A52">
        <v>29</v>
      </c>
      <c r="B52">
        <v>1</v>
      </c>
    </row>
    <row r="53" spans="1:2" x14ac:dyDescent="0.3">
      <c r="A53">
        <v>28</v>
      </c>
      <c r="B53">
        <v>3</v>
      </c>
    </row>
    <row r="54" spans="1:2" x14ac:dyDescent="0.3">
      <c r="A54">
        <v>5</v>
      </c>
      <c r="B54">
        <v>4</v>
      </c>
    </row>
    <row r="55" spans="1:2" x14ac:dyDescent="0.3">
      <c r="A55">
        <v>7</v>
      </c>
      <c r="B55">
        <v>2</v>
      </c>
    </row>
    <row r="56" spans="1:2" x14ac:dyDescent="0.3">
      <c r="A56">
        <v>22</v>
      </c>
      <c r="B56">
        <v>4</v>
      </c>
    </row>
    <row r="57" spans="1:2" x14ac:dyDescent="0.3">
      <c r="A57">
        <v>5</v>
      </c>
      <c r="B57">
        <v>2</v>
      </c>
    </row>
    <row r="58" spans="1:2" x14ac:dyDescent="0.3">
      <c r="A58">
        <v>30</v>
      </c>
      <c r="B58">
        <v>3</v>
      </c>
    </row>
    <row r="59" spans="1:2" x14ac:dyDescent="0.3">
      <c r="A59">
        <v>0</v>
      </c>
      <c r="B59">
        <v>2</v>
      </c>
    </row>
    <row r="60" spans="1:2" x14ac:dyDescent="0.3">
      <c r="A60">
        <v>20</v>
      </c>
      <c r="B60">
        <v>5</v>
      </c>
    </row>
    <row r="61" spans="1:2" x14ac:dyDescent="0.3">
      <c r="A61">
        <v>18</v>
      </c>
      <c r="B61">
        <v>4</v>
      </c>
    </row>
    <row r="62" spans="1:2" x14ac:dyDescent="0.3">
      <c r="A62">
        <v>11</v>
      </c>
      <c r="B62">
        <v>5</v>
      </c>
    </row>
    <row r="63" spans="1:2" x14ac:dyDescent="0.3">
      <c r="A63">
        <v>20</v>
      </c>
      <c r="B63">
        <v>3</v>
      </c>
    </row>
    <row r="64" spans="1:2" x14ac:dyDescent="0.3">
      <c r="A64">
        <v>18</v>
      </c>
      <c r="B64">
        <v>1</v>
      </c>
    </row>
    <row r="65" spans="1:2" x14ac:dyDescent="0.3">
      <c r="A65">
        <v>5</v>
      </c>
      <c r="B65">
        <v>5</v>
      </c>
    </row>
    <row r="66" spans="1:2" x14ac:dyDescent="0.3">
      <c r="A66">
        <v>18</v>
      </c>
      <c r="B66">
        <v>1</v>
      </c>
    </row>
    <row r="67" spans="1:2" x14ac:dyDescent="0.3">
      <c r="A67">
        <v>5</v>
      </c>
      <c r="B67">
        <v>3</v>
      </c>
    </row>
    <row r="68" spans="1:2" x14ac:dyDescent="0.3">
      <c r="A68">
        <v>14</v>
      </c>
      <c r="B68">
        <v>1</v>
      </c>
    </row>
    <row r="69" spans="1:2" x14ac:dyDescent="0.3">
      <c r="A69">
        <v>25</v>
      </c>
      <c r="B69">
        <v>2</v>
      </c>
    </row>
    <row r="70" spans="1:2" x14ac:dyDescent="0.3">
      <c r="A70">
        <v>7</v>
      </c>
      <c r="B70">
        <v>1</v>
      </c>
    </row>
    <row r="71" spans="1:2" x14ac:dyDescent="0.3">
      <c r="A71">
        <v>13</v>
      </c>
      <c r="B71">
        <v>4</v>
      </c>
    </row>
    <row r="72" spans="1:2" x14ac:dyDescent="0.3">
      <c r="A72">
        <v>29</v>
      </c>
      <c r="B72">
        <v>4</v>
      </c>
    </row>
    <row r="73" spans="1:2" x14ac:dyDescent="0.3">
      <c r="A73">
        <v>3</v>
      </c>
      <c r="B73">
        <v>3</v>
      </c>
    </row>
    <row r="74" spans="1:2" x14ac:dyDescent="0.3">
      <c r="A74">
        <v>9</v>
      </c>
      <c r="B74">
        <v>1</v>
      </c>
    </row>
    <row r="75" spans="1:2" x14ac:dyDescent="0.3">
      <c r="A75">
        <v>21</v>
      </c>
      <c r="B75">
        <v>2</v>
      </c>
    </row>
    <row r="76" spans="1:2" x14ac:dyDescent="0.3">
      <c r="A76">
        <v>16</v>
      </c>
      <c r="B76">
        <v>2</v>
      </c>
    </row>
    <row r="77" spans="1:2" x14ac:dyDescent="0.3">
      <c r="A77">
        <v>17</v>
      </c>
      <c r="B77">
        <v>1</v>
      </c>
    </row>
    <row r="78" spans="1:2" x14ac:dyDescent="0.3">
      <c r="A78">
        <v>23</v>
      </c>
      <c r="B78">
        <v>4</v>
      </c>
    </row>
    <row r="79" spans="1:2" x14ac:dyDescent="0.3">
      <c r="A79">
        <v>16</v>
      </c>
      <c r="B79">
        <v>2</v>
      </c>
    </row>
    <row r="80" spans="1:2" x14ac:dyDescent="0.3">
      <c r="A80">
        <v>25</v>
      </c>
      <c r="B80">
        <v>3</v>
      </c>
    </row>
    <row r="81" spans="1:2" x14ac:dyDescent="0.3">
      <c r="A81">
        <v>8</v>
      </c>
      <c r="B81">
        <v>5</v>
      </c>
    </row>
    <row r="82" spans="1:2" x14ac:dyDescent="0.3">
      <c r="A82">
        <v>11</v>
      </c>
      <c r="B82">
        <v>5</v>
      </c>
    </row>
    <row r="83" spans="1:2" x14ac:dyDescent="0.3">
      <c r="A83">
        <v>13</v>
      </c>
      <c r="B83">
        <v>3</v>
      </c>
    </row>
    <row r="84" spans="1:2" x14ac:dyDescent="0.3">
      <c r="A84">
        <v>15</v>
      </c>
      <c r="B84">
        <v>1</v>
      </c>
    </row>
    <row r="85" spans="1:2" x14ac:dyDescent="0.3">
      <c r="A85">
        <v>6</v>
      </c>
      <c r="B85">
        <v>3</v>
      </c>
    </row>
    <row r="86" spans="1:2" x14ac:dyDescent="0.3">
      <c r="A86">
        <v>26</v>
      </c>
      <c r="B86">
        <v>4</v>
      </c>
    </row>
    <row r="87" spans="1:2" x14ac:dyDescent="0.3">
      <c r="A87">
        <v>28</v>
      </c>
      <c r="B87">
        <v>2</v>
      </c>
    </row>
    <row r="88" spans="1:2" x14ac:dyDescent="0.3">
      <c r="A88">
        <v>17</v>
      </c>
      <c r="B88">
        <v>2</v>
      </c>
    </row>
    <row r="89" spans="1:2" x14ac:dyDescent="0.3">
      <c r="A89">
        <v>29</v>
      </c>
      <c r="B89">
        <v>3</v>
      </c>
    </row>
    <row r="90" spans="1:2" x14ac:dyDescent="0.3">
      <c r="A90">
        <v>18</v>
      </c>
      <c r="B90">
        <v>4</v>
      </c>
    </row>
    <row r="91" spans="1:2" x14ac:dyDescent="0.3">
      <c r="A91">
        <v>14</v>
      </c>
      <c r="B91">
        <v>2</v>
      </c>
    </row>
    <row r="92" spans="1:2" x14ac:dyDescent="0.3">
      <c r="A92">
        <v>24</v>
      </c>
      <c r="B92">
        <v>3</v>
      </c>
    </row>
    <row r="93" spans="1:2" x14ac:dyDescent="0.3">
      <c r="A93">
        <v>15</v>
      </c>
      <c r="B93">
        <v>5</v>
      </c>
    </row>
    <row r="94" spans="1:2" x14ac:dyDescent="0.3">
      <c r="A94">
        <v>29</v>
      </c>
      <c r="B94">
        <v>2</v>
      </c>
    </row>
    <row r="95" spans="1:2" x14ac:dyDescent="0.3">
      <c r="A95">
        <v>11</v>
      </c>
      <c r="B95">
        <v>3</v>
      </c>
    </row>
    <row r="96" spans="1:2" x14ac:dyDescent="0.3">
      <c r="A96">
        <v>8</v>
      </c>
      <c r="B96">
        <v>3</v>
      </c>
    </row>
    <row r="97" spans="1:2" x14ac:dyDescent="0.3">
      <c r="A97">
        <v>15</v>
      </c>
      <c r="B97">
        <v>4</v>
      </c>
    </row>
    <row r="98" spans="1:2" x14ac:dyDescent="0.3">
      <c r="A98">
        <v>25</v>
      </c>
      <c r="B98">
        <v>1</v>
      </c>
    </row>
    <row r="99" spans="1:2" x14ac:dyDescent="0.3">
      <c r="A99">
        <v>14</v>
      </c>
      <c r="B99">
        <v>1</v>
      </c>
    </row>
    <row r="100" spans="1:2" x14ac:dyDescent="0.3">
      <c r="A100">
        <v>29</v>
      </c>
      <c r="B100">
        <v>1</v>
      </c>
    </row>
    <row r="101" spans="1:2" x14ac:dyDescent="0.3">
      <c r="A101">
        <v>0</v>
      </c>
      <c r="B101">
        <v>3</v>
      </c>
    </row>
  </sheetData>
  <conditionalFormatting sqref="A6">
    <cfRule type="containsBlanks" priority="1">
      <formula>LEN(TRIM(A6))=0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04E1-E56D-49D6-AC09-819D62D458DF}">
  <dimension ref="A3:B9"/>
  <sheetViews>
    <sheetView workbookViewId="0">
      <selection activeCell="Q15" sqref="Q15"/>
    </sheetView>
  </sheetViews>
  <sheetFormatPr defaultRowHeight="14.4" x14ac:dyDescent="0.3"/>
  <cols>
    <col min="1" max="1" width="12.5546875" bestFit="1" customWidth="1"/>
    <col min="2" max="2" width="24.21875" bestFit="1" customWidth="1"/>
  </cols>
  <sheetData>
    <row r="3" spans="1:2" x14ac:dyDescent="0.3">
      <c r="A3" s="4" t="s">
        <v>232</v>
      </c>
      <c r="B3" t="s">
        <v>244</v>
      </c>
    </row>
    <row r="4" spans="1:2" x14ac:dyDescent="0.3">
      <c r="A4" s="5" t="s">
        <v>217</v>
      </c>
      <c r="B4" s="3">
        <v>80286.727272727279</v>
      </c>
    </row>
    <row r="5" spans="1:2" x14ac:dyDescent="0.3">
      <c r="A5" s="5" t="s">
        <v>214</v>
      </c>
      <c r="B5" s="3">
        <v>72310.074074074073</v>
      </c>
    </row>
    <row r="6" spans="1:2" x14ac:dyDescent="0.3">
      <c r="A6" s="5" t="s">
        <v>218</v>
      </c>
      <c r="B6" s="3">
        <v>81560.565217391311</v>
      </c>
    </row>
    <row r="7" spans="1:2" x14ac:dyDescent="0.3">
      <c r="A7" s="5" t="s">
        <v>216</v>
      </c>
      <c r="B7" s="3">
        <v>69912</v>
      </c>
    </row>
    <row r="8" spans="1:2" x14ac:dyDescent="0.3">
      <c r="A8" s="5" t="s">
        <v>215</v>
      </c>
      <c r="B8" s="3">
        <v>71224.705882352937</v>
      </c>
    </row>
    <row r="9" spans="1:2" x14ac:dyDescent="0.3">
      <c r="A9" s="5" t="s">
        <v>233</v>
      </c>
      <c r="B9" s="3">
        <v>74603.03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0F373-E5B8-4821-8DAD-B9B227AAF7EF}">
  <dimension ref="A3:A4"/>
  <sheetViews>
    <sheetView workbookViewId="0">
      <selection activeCell="A5" sqref="A5"/>
    </sheetView>
  </sheetViews>
  <sheetFormatPr defaultRowHeight="14.4" x14ac:dyDescent="0.3"/>
  <cols>
    <col min="1" max="1" width="20.109375" bestFit="1" customWidth="1"/>
    <col min="2" max="2" width="28.21875" bestFit="1" customWidth="1"/>
    <col min="3" max="5" width="24.5546875" bestFit="1" customWidth="1"/>
  </cols>
  <sheetData>
    <row r="3" spans="1:1" x14ac:dyDescent="0.3">
      <c r="A3" t="s">
        <v>245</v>
      </c>
    </row>
    <row r="4" spans="1:1" x14ac:dyDescent="0.3">
      <c r="A4" s="11">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A55E-B0ED-45A9-B546-F5644E011ECF}">
  <dimension ref="A3:A4"/>
  <sheetViews>
    <sheetView workbookViewId="0">
      <selection activeCell="A4" sqref="A4"/>
    </sheetView>
  </sheetViews>
  <sheetFormatPr defaultRowHeight="14.4" x14ac:dyDescent="0.3"/>
  <cols>
    <col min="1" max="1" width="24.21875" bestFit="1" customWidth="1"/>
  </cols>
  <sheetData>
    <row r="3" spans="1:1" x14ac:dyDescent="0.3">
      <c r="A3" t="s">
        <v>244</v>
      </c>
    </row>
    <row r="4" spans="1:1" x14ac:dyDescent="0.3">
      <c r="A4" s="3">
        <v>74603.03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98C9-4E3A-4A33-8144-6B0AEE1CC027}">
  <dimension ref="A3:A4"/>
  <sheetViews>
    <sheetView workbookViewId="0">
      <selection activeCell="A4" sqref="A4"/>
    </sheetView>
  </sheetViews>
  <sheetFormatPr defaultRowHeight="14.4" x14ac:dyDescent="0.3"/>
  <cols>
    <col min="1" max="1" width="23.109375" bestFit="1" customWidth="1"/>
  </cols>
  <sheetData>
    <row r="3" spans="1:1" x14ac:dyDescent="0.3">
      <c r="A3" t="s">
        <v>236</v>
      </c>
    </row>
    <row r="4" spans="1:1" x14ac:dyDescent="0.3">
      <c r="A4" s="6">
        <v>84.851500000000001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FF705-CDA8-4B90-B5AC-C54000C22E60}">
  <dimension ref="A3:A4"/>
  <sheetViews>
    <sheetView workbookViewId="0">
      <selection activeCell="A4" sqref="A4"/>
    </sheetView>
  </sheetViews>
  <sheetFormatPr defaultRowHeight="14.4" x14ac:dyDescent="0.3"/>
  <cols>
    <col min="1" max="1" width="28.21875" bestFit="1" customWidth="1"/>
  </cols>
  <sheetData>
    <row r="3" spans="1:1" x14ac:dyDescent="0.3">
      <c r="A3" t="s">
        <v>234</v>
      </c>
    </row>
    <row r="4" spans="1:1" x14ac:dyDescent="0.3">
      <c r="A4" s="11">
        <v>2.93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3B295-0AEB-4856-A479-179E42AD5DF3}">
  <dimension ref="A3:A4"/>
  <sheetViews>
    <sheetView workbookViewId="0">
      <selection activeCell="L22" sqref="L22"/>
    </sheetView>
  </sheetViews>
  <sheetFormatPr defaultRowHeight="14.4" x14ac:dyDescent="0.3"/>
  <cols>
    <col min="1" max="1" width="24.5546875" bestFit="1" customWidth="1"/>
  </cols>
  <sheetData>
    <row r="3" spans="1:1" x14ac:dyDescent="0.3">
      <c r="A3" t="s">
        <v>243</v>
      </c>
    </row>
    <row r="4" spans="1:1" x14ac:dyDescent="0.3">
      <c r="A4" s="11">
        <v>15.59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Main Table</vt:lpstr>
      <vt:lpstr>Dashboard</vt:lpstr>
      <vt:lpstr>Employee Count</vt:lpstr>
      <vt:lpstr>HeatMap</vt:lpstr>
      <vt:lpstr>Avg attendance</vt:lpstr>
      <vt:lpstr>Area Chart</vt:lpstr>
      <vt:lpstr>Gender Distribution</vt:lpstr>
      <vt:lpstr>Dept Efficiency</vt:lpstr>
      <vt:lpstr>OT vs Performance</vt:lpstr>
      <vt:lpstr>Dept that earns the most</vt:lpstr>
      <vt:lpstr>KPIEmpCount</vt:lpstr>
      <vt:lpstr>KPISalary</vt:lpstr>
      <vt:lpstr>KPIAvgAttendance</vt:lpstr>
      <vt:lpstr>KPIAvgPerformance</vt:lpstr>
      <vt:lpstr>KPIAvgOvertime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Surbhi Parmar</cp:lastModifiedBy>
  <cp:lastPrinted>2025-10-31T17:04:17Z</cp:lastPrinted>
  <dcterms:created xsi:type="dcterms:W3CDTF">2025-10-26T14:49:26Z</dcterms:created>
  <dcterms:modified xsi:type="dcterms:W3CDTF">2026-05-27T08:22:43Z</dcterms:modified>
</cp:coreProperties>
</file>